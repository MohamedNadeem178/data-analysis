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20460" windowHeight="8970" activeTab="2"/>
  </bookViews>
  <sheets>
    <sheet name="Sheet2" sheetId="2" r:id="rId1"/>
    <sheet name="Sheet1" sheetId="1" r:id="rId2"/>
    <sheet name="Sheet3" sheetId="3" r:id="rId3"/>
    <sheet name="Sheet4" sheetId="4" r:id="rId4"/>
    <sheet name="Sheet7" sheetId="7" r:id="rId5"/>
    <sheet name="Sheet5" sheetId="5" r:id="rId6"/>
  </sheets>
  <calcPr calcId="152511"/>
  <pivotCaches>
    <pivotCache cacheId="1" r:id="rId7"/>
    <pivotCache cacheId="19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8" i="3" l="1"/>
  <c r="H68" i="3" s="1"/>
  <c r="K51" i="3"/>
  <c r="K49" i="3"/>
  <c r="K47" i="3"/>
  <c r="R58" i="3" l="1"/>
  <c r="O58" i="3"/>
  <c r="Q33" i="3"/>
  <c r="Q31" i="3"/>
  <c r="Q29" i="3"/>
  <c r="Q27" i="3"/>
  <c r="Q25" i="3"/>
  <c r="J20" i="3"/>
  <c r="J18" i="3"/>
  <c r="J16" i="3"/>
  <c r="J14" i="3"/>
</calcChain>
</file>

<file path=xl/sharedStrings.xml><?xml version="1.0" encoding="utf-8"?>
<sst xmlns="http://schemas.openxmlformats.org/spreadsheetml/2006/main" count="394" uniqueCount="150">
  <si>
    <t>age</t>
  </si>
  <si>
    <t>gender</t>
  </si>
  <si>
    <t>name</t>
  </si>
  <si>
    <t>UG</t>
  </si>
  <si>
    <t>PG</t>
  </si>
  <si>
    <t>UG PERCENTAGE</t>
  </si>
  <si>
    <t>PG PERCENTAGE</t>
  </si>
  <si>
    <t>mani</t>
  </si>
  <si>
    <t>male</t>
  </si>
  <si>
    <t>EEE</t>
  </si>
  <si>
    <t>priya</t>
  </si>
  <si>
    <t>female</t>
  </si>
  <si>
    <t>BCA</t>
  </si>
  <si>
    <t>MCA</t>
  </si>
  <si>
    <t>azar</t>
  </si>
  <si>
    <t>BTEC</t>
  </si>
  <si>
    <t>ganga</t>
  </si>
  <si>
    <t>BCOM</t>
  </si>
  <si>
    <t>MCOM</t>
  </si>
  <si>
    <t>faheem</t>
  </si>
  <si>
    <t>BBA</t>
  </si>
  <si>
    <t>MBA</t>
  </si>
  <si>
    <t>gopal</t>
  </si>
  <si>
    <t>BSC</t>
  </si>
  <si>
    <t>MSC</t>
  </si>
  <si>
    <t>sam</t>
  </si>
  <si>
    <t>rahuman</t>
  </si>
  <si>
    <t>tessa</t>
  </si>
  <si>
    <t>tony</t>
  </si>
  <si>
    <t>Row Labels</t>
  </si>
  <si>
    <t>Grand Total</t>
  </si>
  <si>
    <t>Column Labels</t>
  </si>
  <si>
    <t>Sum of UG PERCENTAGE</t>
  </si>
  <si>
    <t>(blank)</t>
  </si>
  <si>
    <t>Total Sum of UG PERCENTAGE</t>
  </si>
  <si>
    <t>Total Count of PG PERCENTAGE</t>
  </si>
  <si>
    <t>Count of PG PERCENTAGE</t>
  </si>
  <si>
    <t>Column1</t>
  </si>
  <si>
    <t>Column2</t>
  </si>
  <si>
    <t>Column3</t>
  </si>
  <si>
    <t>Column4</t>
  </si>
  <si>
    <t>Column5</t>
  </si>
  <si>
    <t>Column6</t>
  </si>
  <si>
    <t>VW</t>
  </si>
  <si>
    <t>golf GT</t>
  </si>
  <si>
    <t>german</t>
  </si>
  <si>
    <t>FERRARI</t>
  </si>
  <si>
    <t>f40</t>
  </si>
  <si>
    <t>italy</t>
  </si>
  <si>
    <t>FORD</t>
  </si>
  <si>
    <t>mustang</t>
  </si>
  <si>
    <t>america</t>
  </si>
  <si>
    <t>DODGE</t>
  </si>
  <si>
    <t>hellcat</t>
  </si>
  <si>
    <t>PAGANI</t>
  </si>
  <si>
    <t>zonda</t>
  </si>
  <si>
    <t>argentina</t>
  </si>
  <si>
    <t>mazda</t>
  </si>
  <si>
    <t>rx7</t>
  </si>
  <si>
    <t>japan</t>
  </si>
  <si>
    <t>nissan</t>
  </si>
  <si>
    <t>skyline</t>
  </si>
  <si>
    <t>BMW</t>
  </si>
  <si>
    <t>m5 e60</t>
  </si>
  <si>
    <t>brands</t>
  </si>
  <si>
    <t>model</t>
  </si>
  <si>
    <t>price</t>
  </si>
  <si>
    <t>nos</t>
  </si>
  <si>
    <t>orgin</t>
  </si>
  <si>
    <t>workers</t>
  </si>
  <si>
    <t xml:space="preserve">in </t>
  </si>
  <si>
    <t>out</t>
  </si>
  <si>
    <t>reason</t>
  </si>
  <si>
    <t>wages</t>
  </si>
  <si>
    <t>worker 1</t>
  </si>
  <si>
    <t>regular</t>
  </si>
  <si>
    <t>worker 2</t>
  </si>
  <si>
    <t>coz of his health issue</t>
  </si>
  <si>
    <t>worker 3</t>
  </si>
  <si>
    <t>worker 4</t>
  </si>
  <si>
    <t>halfday</t>
  </si>
  <si>
    <t>worker 5</t>
  </si>
  <si>
    <t>extra tym</t>
  </si>
  <si>
    <t>worker 6</t>
  </si>
  <si>
    <t>VLOOKUP</t>
  </si>
  <si>
    <t>HLOOKUP</t>
  </si>
  <si>
    <t>WORKERS</t>
  </si>
  <si>
    <t>IN</t>
  </si>
  <si>
    <t>OUT</t>
  </si>
  <si>
    <t>REASON</t>
  </si>
  <si>
    <t>WAGES</t>
  </si>
  <si>
    <t>NOS</t>
  </si>
  <si>
    <t>sno</t>
  </si>
  <si>
    <t>PRODUCT</t>
  </si>
  <si>
    <t xml:space="preserve"> code</t>
  </si>
  <si>
    <t>prize</t>
  </si>
  <si>
    <t>Q</t>
  </si>
  <si>
    <t>W</t>
  </si>
  <si>
    <t>E</t>
  </si>
  <si>
    <t>R</t>
  </si>
  <si>
    <t>T</t>
  </si>
  <si>
    <t>Y</t>
  </si>
  <si>
    <t>BRAND</t>
  </si>
  <si>
    <t>MODEL</t>
  </si>
  <si>
    <t>PRIZE</t>
  </si>
  <si>
    <t>SALE</t>
  </si>
  <si>
    <t>workclass</t>
  </si>
  <si>
    <t>fnlwgt</t>
  </si>
  <si>
    <t>education</t>
  </si>
  <si>
    <t>education_num</t>
  </si>
  <si>
    <t>marital-status</t>
  </si>
  <si>
    <t>occupation</t>
  </si>
  <si>
    <t>relationship</t>
  </si>
  <si>
    <t>race</t>
  </si>
  <si>
    <t>capitalGain</t>
  </si>
  <si>
    <t>capitalLoss</t>
  </si>
  <si>
    <t>hoursPerWeek</t>
  </si>
  <si>
    <t>nativeCountry</t>
  </si>
  <si>
    <t>income</t>
  </si>
  <si>
    <t>Self-emp-not-inc</t>
  </si>
  <si>
    <t>Bachelors</t>
  </si>
  <si>
    <t>Married-civ-spouse</t>
  </si>
  <si>
    <t>Exec-managerial</t>
  </si>
  <si>
    <t>Husband</t>
  </si>
  <si>
    <t>White</t>
  </si>
  <si>
    <t>Male</t>
  </si>
  <si>
    <t>United-States</t>
  </si>
  <si>
    <t>&lt;=50K</t>
  </si>
  <si>
    <t>Private</t>
  </si>
  <si>
    <t>11th</t>
  </si>
  <si>
    <t>Handlers-cleaners</t>
  </si>
  <si>
    <t>Black</t>
  </si>
  <si>
    <t>HS-grad</t>
  </si>
  <si>
    <t>&gt;50K</t>
  </si>
  <si>
    <t>State-gov</t>
  </si>
  <si>
    <t>Prof-specialty</t>
  </si>
  <si>
    <t>Asian-Pac-Islander</t>
  </si>
  <si>
    <t>India</t>
  </si>
  <si>
    <t>Never-married</t>
  </si>
  <si>
    <t>Adm-clerical</t>
  </si>
  <si>
    <t>Own-child</t>
  </si>
  <si>
    <t>Female</t>
  </si>
  <si>
    <t>Farming-fishing</t>
  </si>
  <si>
    <t>Machine-op-inspct</t>
  </si>
  <si>
    <t>Unmarried</t>
  </si>
  <si>
    <t>Sales</t>
  </si>
  <si>
    <t>Masters</t>
  </si>
  <si>
    <t>Divorced</t>
  </si>
  <si>
    <t>Sum of age</t>
  </si>
  <si>
    <t>Sum of education_num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</si>
</sst>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</fills>
  <borders count="2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2" borderId="1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/>
    <xf numFmtId="9" fontId="0" fillId="0" borderId="0" xfId="0" applyNumberFormat="1" applyFont="1"/>
    <xf numFmtId="0" fontId="2" fillId="0" borderId="0" xfId="1"/>
    <xf numFmtId="0" fontId="0" fillId="0" borderId="4" xfId="0" pivotButton="1" applyBorder="1"/>
    <xf numFmtId="0" fontId="0" fillId="0" borderId="5" xfId="0" applyBorder="1"/>
    <xf numFmtId="0" fontId="0" fillId="0" borderId="6" xfId="0" pivotButton="1" applyBorder="1"/>
    <xf numFmtId="0" fontId="0" fillId="0" borderId="0" xfId="0" applyBorder="1"/>
    <xf numFmtId="0" fontId="0" fillId="0" borderId="6" xfId="0" applyBorder="1" applyAlignment="1">
      <alignment horizontal="left"/>
    </xf>
    <xf numFmtId="0" fontId="0" fillId="0" borderId="0" xfId="0" applyNumberFormat="1" applyBorder="1"/>
    <xf numFmtId="0" fontId="0" fillId="0" borderId="7" xfId="0" applyNumberFormat="1" applyBorder="1"/>
    <xf numFmtId="0" fontId="0" fillId="0" borderId="6" xfId="0" applyBorder="1" applyAlignment="1">
      <alignment horizontal="left" indent="1"/>
    </xf>
    <xf numFmtId="0" fontId="0" fillId="0" borderId="6" xfId="0" applyBorder="1" applyAlignment="1">
      <alignment horizontal="left" indent="2"/>
    </xf>
    <xf numFmtId="0" fontId="0" fillId="0" borderId="6" xfId="0" applyBorder="1" applyAlignment="1">
      <alignment horizontal="left" indent="3"/>
    </xf>
    <xf numFmtId="0" fontId="0" fillId="0" borderId="9" xfId="0" applyNumberFormat="1" applyBorder="1"/>
    <xf numFmtId="0" fontId="0" fillId="0" borderId="10" xfId="0" applyNumberFormat="1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8" xfId="0" applyNumberFormat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4" xfId="0" applyNumberFormat="1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0" fillId="0" borderId="10" xfId="0" applyBorder="1"/>
    <xf numFmtId="0" fontId="0" fillId="0" borderId="2" xfId="0" applyBorder="1" applyAlignment="1">
      <alignment horizontal="left" indent="1"/>
    </xf>
    <xf numFmtId="0" fontId="0" fillId="0" borderId="2" xfId="0" applyBorder="1" applyAlignment="1">
      <alignment horizontal="left" indent="2"/>
    </xf>
    <xf numFmtId="0" fontId="0" fillId="0" borderId="13" xfId="0" applyBorder="1"/>
    <xf numFmtId="0" fontId="1" fillId="0" borderId="2" xfId="0" applyFont="1" applyBorder="1"/>
    <xf numFmtId="0" fontId="0" fillId="0" borderId="0" xfId="0" applyAlignment="1">
      <alignment horizontal="center"/>
    </xf>
    <xf numFmtId="18" fontId="0" fillId="0" borderId="0" xfId="0" applyNumberFormat="1"/>
    <xf numFmtId="0" fontId="0" fillId="4" borderId="14" xfId="0" applyFont="1" applyFill="1" applyBorder="1" applyAlignment="1">
      <alignment horizontal="center"/>
    </xf>
    <xf numFmtId="18" fontId="0" fillId="4" borderId="15" xfId="0" applyNumberFormat="1" applyFont="1" applyFill="1" applyBorder="1"/>
    <xf numFmtId="0" fontId="0" fillId="4" borderId="15" xfId="0" applyFont="1" applyFill="1" applyBorder="1"/>
    <xf numFmtId="0" fontId="0" fillId="4" borderId="16" xfId="0" applyFont="1" applyFill="1" applyBorder="1"/>
    <xf numFmtId="18" fontId="0" fillId="0" borderId="15" xfId="0" applyNumberFormat="1" applyFont="1" applyBorder="1"/>
    <xf numFmtId="0" fontId="0" fillId="0" borderId="15" xfId="0" applyFont="1" applyBorder="1"/>
    <xf numFmtId="0" fontId="0" fillId="0" borderId="16" xfId="0" applyFont="1" applyBorder="1"/>
    <xf numFmtId="164" fontId="0" fillId="0" borderId="0" xfId="0" applyNumberFormat="1"/>
    <xf numFmtId="0" fontId="0" fillId="5" borderId="17" xfId="0" applyFont="1" applyFill="1" applyBorder="1"/>
    <xf numFmtId="0" fontId="0" fillId="6" borderId="17" xfId="0" applyFont="1" applyFill="1" applyBorder="1"/>
    <xf numFmtId="0" fontId="1" fillId="5" borderId="17" xfId="0" applyFont="1" applyFill="1" applyBorder="1"/>
    <xf numFmtId="0" fontId="1" fillId="5" borderId="18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3" borderId="19" xfId="0" applyFont="1" applyFill="1" applyBorder="1"/>
    <xf numFmtId="0" fontId="0" fillId="2" borderId="19" xfId="0" applyFont="1" applyFill="1" applyBorder="1"/>
    <xf numFmtId="0" fontId="0" fillId="3" borderId="20" xfId="0" applyFont="1" applyFill="1" applyBorder="1"/>
    <xf numFmtId="0" fontId="0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1" fillId="2" borderId="23" xfId="0" applyFont="1" applyFill="1" applyBorder="1"/>
    <xf numFmtId="0" fontId="0" fillId="2" borderId="24" xfId="0" applyFont="1" applyFill="1" applyBorder="1"/>
    <xf numFmtId="0" fontId="0" fillId="2" borderId="25" xfId="0" applyFont="1" applyFill="1" applyBorder="1"/>
    <xf numFmtId="0" fontId="0" fillId="2" borderId="26" xfId="0" applyFont="1" applyFill="1" applyBorder="1"/>
  </cellXfs>
  <cellStyles count="2">
    <cellStyle name="Hyperlink" xfId="1" builtinId="8"/>
    <cellStyle name="Normal" xfId="0" builtinId="0"/>
  </cellStyles>
  <dxfs count="16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3" formatCode="h:mm\ AM/PM"/>
    </dxf>
    <dxf>
      <numFmt numFmtId="23" formatCode="h:mm\ AM/PM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</dxf>
    <dxf>
      <font>
        <color theme="8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theme="5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[ROUGH WRK.xlsx]Sheet7!PivotTable2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multiLvlStrRef>
              <c:f>Sheet7!$A$4:$A$51</c:f>
              <c:multiLvlStrCache>
                <c:ptCount val="10"/>
                <c:lvl>
                  <c:pt idx="0">
                    <c:v>United-States</c:v>
                  </c:pt>
                  <c:pt idx="1">
                    <c:v>United-States</c:v>
                  </c:pt>
                  <c:pt idx="2">
                    <c:v>United-States</c:v>
                  </c:pt>
                  <c:pt idx="3">
                    <c:v>United-States</c:v>
                  </c:pt>
                  <c:pt idx="4">
                    <c:v>United-States</c:v>
                  </c:pt>
                  <c:pt idx="5">
                    <c:v>United-States</c:v>
                  </c:pt>
                  <c:pt idx="6">
                    <c:v>United-States</c:v>
                  </c:pt>
                  <c:pt idx="7">
                    <c:v>United-States</c:v>
                  </c:pt>
                  <c:pt idx="8">
                    <c:v>United-States</c:v>
                  </c:pt>
                  <c:pt idx="9">
                    <c:v>India</c:v>
                  </c:pt>
                </c:lvl>
                <c:lvl>
                  <c:pt idx="0">
                    <c:v>&lt;=50K</c:v>
                  </c:pt>
                  <c:pt idx="1">
                    <c:v>&lt;=50K</c:v>
                  </c:pt>
                  <c:pt idx="2">
                    <c:v>&lt;=50K</c:v>
                  </c:pt>
                  <c:pt idx="3">
                    <c:v>&gt;50K</c:v>
                  </c:pt>
                  <c:pt idx="4">
                    <c:v>&lt;=50K</c:v>
                  </c:pt>
                  <c:pt idx="5">
                    <c:v>&lt;=50K</c:v>
                  </c:pt>
                  <c:pt idx="6">
                    <c:v>&lt;=50K</c:v>
                  </c:pt>
                  <c:pt idx="7">
                    <c:v>&gt;50K</c:v>
                  </c:pt>
                  <c:pt idx="8">
                    <c:v>&gt;50K</c:v>
                  </c:pt>
                  <c:pt idx="9">
                    <c:v>&gt;50K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Black</c:v>
                  </c:pt>
                  <c:pt idx="1">
                    <c:v>White</c:v>
                  </c:pt>
                  <c:pt idx="2">
                    <c:v>White</c:v>
                  </c:pt>
                  <c:pt idx="4">
                    <c:v>White</c:v>
                  </c:pt>
                  <c:pt idx="5">
                    <c:v>White</c:v>
                  </c:pt>
                  <c:pt idx="6">
                    <c:v>White</c:v>
                  </c:pt>
                  <c:pt idx="8">
                    <c:v>White</c:v>
                  </c:pt>
                  <c:pt idx="9">
                    <c:v>Asian-Pac-Islander</c:v>
                  </c:pt>
                </c:lvl>
                <c:lvl>
                  <c:pt idx="0">
                    <c:v>11th</c:v>
                  </c:pt>
                  <c:pt idx="2">
                    <c:v>Bachelors</c:v>
                  </c:pt>
                  <c:pt idx="4">
                    <c:v>HS-grad</c:v>
                  </c:pt>
                  <c:pt idx="5">
                    <c:v>Bachelors</c:v>
                  </c:pt>
                  <c:pt idx="6">
                    <c:v>HS-grad</c:v>
                  </c:pt>
                  <c:pt idx="8">
                    <c:v>Masters</c:v>
                  </c:pt>
                  <c:pt idx="9">
                    <c:v>Bachelors</c:v>
                  </c:pt>
                </c:lvl>
                <c:lvl>
                  <c:pt idx="0">
                    <c:v>Private</c:v>
                  </c:pt>
                  <c:pt idx="5">
                    <c:v>Self-emp-not-inc</c:v>
                  </c:pt>
                  <c:pt idx="9">
                    <c:v>State-gov</c:v>
                  </c:pt>
                </c:lvl>
              </c:multiLvlStrCache>
            </c:multiLvlStrRef>
          </c:cat>
          <c:val>
            <c:numRef>
              <c:f>Sheet7!$B$4:$B$51</c:f>
              <c:numCache>
                <c:formatCode>General</c:formatCode>
                <c:ptCount val="10"/>
                <c:pt idx="0">
                  <c:v>53</c:v>
                </c:pt>
                <c:pt idx="1">
                  <c:v>38</c:v>
                </c:pt>
                <c:pt idx="2">
                  <c:v>23</c:v>
                </c:pt>
                <c:pt idx="3">
                  <c:v>42</c:v>
                </c:pt>
                <c:pt idx="4">
                  <c:v>32</c:v>
                </c:pt>
                <c:pt idx="5">
                  <c:v>50</c:v>
                </c:pt>
                <c:pt idx="6">
                  <c:v>25</c:v>
                </c:pt>
                <c:pt idx="7">
                  <c:v>52</c:v>
                </c:pt>
                <c:pt idx="8">
                  <c:v>43</c:v>
                </c:pt>
                <c:pt idx="9">
                  <c:v>30</c:v>
                </c:pt>
              </c:numCache>
            </c:numRef>
          </c:val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education_num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multiLvlStrRef>
              <c:f>Sheet7!$A$4:$A$51</c:f>
              <c:multiLvlStrCache>
                <c:ptCount val="10"/>
                <c:lvl>
                  <c:pt idx="0">
                    <c:v>United-States</c:v>
                  </c:pt>
                  <c:pt idx="1">
                    <c:v>United-States</c:v>
                  </c:pt>
                  <c:pt idx="2">
                    <c:v>United-States</c:v>
                  </c:pt>
                  <c:pt idx="3">
                    <c:v>United-States</c:v>
                  </c:pt>
                  <c:pt idx="4">
                    <c:v>United-States</c:v>
                  </c:pt>
                  <c:pt idx="5">
                    <c:v>United-States</c:v>
                  </c:pt>
                  <c:pt idx="6">
                    <c:v>United-States</c:v>
                  </c:pt>
                  <c:pt idx="7">
                    <c:v>United-States</c:v>
                  </c:pt>
                  <c:pt idx="8">
                    <c:v>United-States</c:v>
                  </c:pt>
                  <c:pt idx="9">
                    <c:v>India</c:v>
                  </c:pt>
                </c:lvl>
                <c:lvl>
                  <c:pt idx="0">
                    <c:v>&lt;=50K</c:v>
                  </c:pt>
                  <c:pt idx="1">
                    <c:v>&lt;=50K</c:v>
                  </c:pt>
                  <c:pt idx="2">
                    <c:v>&lt;=50K</c:v>
                  </c:pt>
                  <c:pt idx="3">
                    <c:v>&gt;50K</c:v>
                  </c:pt>
                  <c:pt idx="4">
                    <c:v>&lt;=50K</c:v>
                  </c:pt>
                  <c:pt idx="5">
                    <c:v>&lt;=50K</c:v>
                  </c:pt>
                  <c:pt idx="6">
                    <c:v>&lt;=50K</c:v>
                  </c:pt>
                  <c:pt idx="7">
                    <c:v>&gt;50K</c:v>
                  </c:pt>
                  <c:pt idx="8">
                    <c:v>&gt;50K</c:v>
                  </c:pt>
                  <c:pt idx="9">
                    <c:v>&gt;50K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Black</c:v>
                  </c:pt>
                  <c:pt idx="1">
                    <c:v>White</c:v>
                  </c:pt>
                  <c:pt idx="2">
                    <c:v>White</c:v>
                  </c:pt>
                  <c:pt idx="4">
                    <c:v>White</c:v>
                  </c:pt>
                  <c:pt idx="5">
                    <c:v>White</c:v>
                  </c:pt>
                  <c:pt idx="6">
                    <c:v>White</c:v>
                  </c:pt>
                  <c:pt idx="8">
                    <c:v>White</c:v>
                  </c:pt>
                  <c:pt idx="9">
                    <c:v>Asian-Pac-Islander</c:v>
                  </c:pt>
                </c:lvl>
                <c:lvl>
                  <c:pt idx="0">
                    <c:v>11th</c:v>
                  </c:pt>
                  <c:pt idx="2">
                    <c:v>Bachelors</c:v>
                  </c:pt>
                  <c:pt idx="4">
                    <c:v>HS-grad</c:v>
                  </c:pt>
                  <c:pt idx="5">
                    <c:v>Bachelors</c:v>
                  </c:pt>
                  <c:pt idx="6">
                    <c:v>HS-grad</c:v>
                  </c:pt>
                  <c:pt idx="8">
                    <c:v>Masters</c:v>
                  </c:pt>
                  <c:pt idx="9">
                    <c:v>Bachelors</c:v>
                  </c:pt>
                </c:lvl>
                <c:lvl>
                  <c:pt idx="0">
                    <c:v>Private</c:v>
                  </c:pt>
                  <c:pt idx="5">
                    <c:v>Self-emp-not-inc</c:v>
                  </c:pt>
                  <c:pt idx="9">
                    <c:v>State-gov</c:v>
                  </c:pt>
                </c:lvl>
              </c:multiLvlStrCache>
            </c:multiLvlStrRef>
          </c:cat>
          <c:val>
            <c:numRef>
              <c:f>Sheet7!$C$4:$C$51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13</c:v>
                </c:pt>
                <c:pt idx="3">
                  <c:v>13</c:v>
                </c:pt>
                <c:pt idx="4">
                  <c:v>9</c:v>
                </c:pt>
                <c:pt idx="5">
                  <c:v>13</c:v>
                </c:pt>
                <c:pt idx="6">
                  <c:v>9</c:v>
                </c:pt>
                <c:pt idx="7">
                  <c:v>9</c:v>
                </c:pt>
                <c:pt idx="8">
                  <c:v>14</c:v>
                </c:pt>
                <c:pt idx="9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-18585392"/>
        <c:axId val="-18597904"/>
        <c:axId val="0"/>
      </c:bar3DChart>
      <c:catAx>
        <c:axId val="-1858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597904"/>
        <c:crosses val="autoZero"/>
        <c:auto val="1"/>
        <c:lblAlgn val="ctr"/>
        <c:lblOffset val="100"/>
        <c:noMultiLvlLbl val="0"/>
      </c:catAx>
      <c:valAx>
        <c:axId val="-1859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58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26</xdr:row>
      <xdr:rowOff>9525</xdr:rowOff>
    </xdr:from>
    <xdr:to>
      <xdr:col>9</xdr:col>
      <xdr:colOff>219075</xdr:colOff>
      <xdr:row>43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VEWIRE" refreshedDate="45955.609037731483" createdVersion="5" refreshedVersion="5" minRefreshableVersion="3" recordCount="10">
  <cacheSource type="worksheet">
    <worksheetSource name="Table4"/>
  </cacheSource>
  <cacheFields count="7">
    <cacheField name="name" numFmtId="0">
      <sharedItems count="10">
        <s v="mani"/>
        <s v="priya"/>
        <s v="azar"/>
        <s v="ganga"/>
        <s v="faheem"/>
        <s v="gopal"/>
        <s v="sam"/>
        <s v="rahuman"/>
        <s v="tessa"/>
        <s v="tony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9" maxValue="25" count="6">
        <n v="24"/>
        <n v="25"/>
        <n v="21"/>
        <n v="23"/>
        <n v="19"/>
        <n v="22"/>
      </sharedItems>
    </cacheField>
    <cacheField name="UG" numFmtId="0">
      <sharedItems count="6">
        <s v="EEE"/>
        <s v="BCA"/>
        <s v="BTEC"/>
        <s v="BCOM"/>
        <s v="BBA"/>
        <s v="BSC"/>
      </sharedItems>
    </cacheField>
    <cacheField name="PG" numFmtId="0">
      <sharedItems containsBlank="1" count="5">
        <m/>
        <s v="MCA"/>
        <s v="MCOM"/>
        <s v="MBA"/>
        <s v="MSC"/>
      </sharedItems>
    </cacheField>
    <cacheField name="UG PERCENTAGE" numFmtId="9">
      <sharedItems containsSemiMixedTypes="0" containsString="0" containsNumber="1" minValue="0.7" maxValue="0.95" count="10">
        <n v="0.8"/>
        <n v="0.75"/>
        <n v="0.78"/>
        <n v="0.9"/>
        <n v="0.83"/>
        <n v="0.81"/>
        <n v="0.95"/>
        <n v="0.7"/>
        <n v="0.79"/>
        <n v="0.88"/>
      </sharedItems>
    </cacheField>
    <cacheField name="PG PERCENTAGE" numFmtId="0">
      <sharedItems containsString="0" containsBlank="1" containsNumber="1" minValue="0.78" maxValue="0.95" count="9">
        <m/>
        <n v="0.91"/>
        <n v="0.95"/>
        <n v="0.89"/>
        <n v="0.78"/>
        <n v="0.92"/>
        <n v="0.85"/>
        <n v="0.9"/>
        <n v="0.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VEWIRE" refreshedDate="45958.715532060189" createdVersion="5" refreshedVersion="5" minRefreshableVersion="3" recordCount="10">
  <cacheSource type="worksheet">
    <worksheetSource ref="A1:O11" sheet="Sheet5"/>
  </cacheSource>
  <cacheFields count="15">
    <cacheField name="age" numFmtId="0">
      <sharedItems containsSemiMixedTypes="0" containsString="0" containsNumber="1" containsInteger="1" minValue="23" maxValue="53"/>
    </cacheField>
    <cacheField name="workclass" numFmtId="0">
      <sharedItems count="3">
        <s v="Self-emp-not-inc"/>
        <s v="Private"/>
        <s v="State-gov"/>
      </sharedItems>
    </cacheField>
    <cacheField name="fnlwgt" numFmtId="0">
      <sharedItems containsSemiMixedTypes="0" containsString="0" containsNumber="1" containsInteger="1" minValue="28887" maxValue="292175"/>
    </cacheField>
    <cacheField name="education" numFmtId="0">
      <sharedItems count="4">
        <s v="Bachelors"/>
        <s v="11th"/>
        <s v="HS-grad"/>
        <s v="Masters"/>
      </sharedItems>
    </cacheField>
    <cacheField name="education_num" numFmtId="0">
      <sharedItems containsSemiMixedTypes="0" containsString="0" containsNumber="1" containsInteger="1" minValue="7" maxValue="14" count="4">
        <n v="13"/>
        <n v="7"/>
        <n v="9"/>
        <n v="14"/>
      </sharedItems>
    </cacheField>
    <cacheField name="marital-status" numFmtId="0">
      <sharedItems/>
    </cacheField>
    <cacheField name="occupation" numFmtId="0">
      <sharedItems/>
    </cacheField>
    <cacheField name="relationship" numFmtId="0">
      <sharedItems/>
    </cacheField>
    <cacheField name="race" numFmtId="0">
      <sharedItems count="3">
        <s v="White"/>
        <s v="Black"/>
        <s v="Asian-Pac-Islander"/>
      </sharedItems>
    </cacheField>
    <cacheField name="gender" numFmtId="0">
      <sharedItems count="2">
        <s v="Male"/>
        <s v="Female"/>
      </sharedItems>
    </cacheField>
    <cacheField name="capitalGain" numFmtId="0">
      <sharedItems containsSemiMixedTypes="0" containsString="0" containsNumber="1" containsInteger="1" minValue="0" maxValue="5178"/>
    </cacheField>
    <cacheField name="capitalLoss" numFmtId="0">
      <sharedItems containsSemiMixedTypes="0" containsString="0" containsNumber="1" containsInteger="1" minValue="0" maxValue="0"/>
    </cacheField>
    <cacheField name="hoursPerWeek" numFmtId="0">
      <sharedItems containsSemiMixedTypes="0" containsString="0" containsNumber="1" containsInteger="1" minValue="13" maxValue="50"/>
    </cacheField>
    <cacheField name="nativeCountry" numFmtId="0">
      <sharedItems count="2">
        <s v="United-States"/>
        <s v="India"/>
      </sharedItems>
    </cacheField>
    <cacheField name="income" numFmtId="0">
      <sharedItems count="2">
        <s v="&lt;=50K"/>
        <s v="&gt;5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</r>
  <r>
    <x v="1"/>
    <x v="1"/>
    <x v="1"/>
    <x v="1"/>
    <x v="1"/>
    <x v="1"/>
    <x v="1"/>
  </r>
  <r>
    <x v="2"/>
    <x v="0"/>
    <x v="2"/>
    <x v="2"/>
    <x v="0"/>
    <x v="2"/>
    <x v="0"/>
  </r>
  <r>
    <x v="3"/>
    <x v="1"/>
    <x v="3"/>
    <x v="3"/>
    <x v="2"/>
    <x v="3"/>
    <x v="2"/>
  </r>
  <r>
    <x v="4"/>
    <x v="0"/>
    <x v="4"/>
    <x v="4"/>
    <x v="3"/>
    <x v="4"/>
    <x v="3"/>
  </r>
  <r>
    <x v="5"/>
    <x v="0"/>
    <x v="1"/>
    <x v="5"/>
    <x v="4"/>
    <x v="5"/>
    <x v="4"/>
  </r>
  <r>
    <x v="6"/>
    <x v="0"/>
    <x v="2"/>
    <x v="4"/>
    <x v="3"/>
    <x v="6"/>
    <x v="5"/>
  </r>
  <r>
    <x v="7"/>
    <x v="0"/>
    <x v="5"/>
    <x v="3"/>
    <x v="3"/>
    <x v="7"/>
    <x v="6"/>
  </r>
  <r>
    <x v="8"/>
    <x v="1"/>
    <x v="2"/>
    <x v="3"/>
    <x v="3"/>
    <x v="8"/>
    <x v="7"/>
  </r>
  <r>
    <x v="9"/>
    <x v="0"/>
    <x v="5"/>
    <x v="1"/>
    <x v="1"/>
    <x v="9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n v="50"/>
    <x v="0"/>
    <n v="83311"/>
    <x v="0"/>
    <x v="0"/>
    <s v="Married-civ-spouse"/>
    <s v="Exec-managerial"/>
    <s v="Husband"/>
    <x v="0"/>
    <x v="0"/>
    <n v="0"/>
    <n v="0"/>
    <n v="13"/>
    <x v="0"/>
    <x v="0"/>
  </r>
  <r>
    <n v="53"/>
    <x v="1"/>
    <n v="234721"/>
    <x v="1"/>
    <x v="1"/>
    <s v="Married-civ-spouse"/>
    <s v="Handlers-cleaners"/>
    <s v="Husband"/>
    <x v="1"/>
    <x v="0"/>
    <n v="0"/>
    <n v="0"/>
    <n v="40"/>
    <x v="0"/>
    <x v="0"/>
  </r>
  <r>
    <n v="52"/>
    <x v="0"/>
    <n v="209642"/>
    <x v="2"/>
    <x v="2"/>
    <s v="Married-civ-spouse"/>
    <s v="Exec-managerial"/>
    <s v="Husband"/>
    <x v="0"/>
    <x v="0"/>
    <n v="0"/>
    <n v="0"/>
    <n v="45"/>
    <x v="0"/>
    <x v="1"/>
  </r>
  <r>
    <n v="42"/>
    <x v="1"/>
    <n v="159449"/>
    <x v="0"/>
    <x v="0"/>
    <s v="Married-civ-spouse"/>
    <s v="Exec-managerial"/>
    <s v="Husband"/>
    <x v="0"/>
    <x v="0"/>
    <n v="5178"/>
    <n v="0"/>
    <n v="40"/>
    <x v="0"/>
    <x v="1"/>
  </r>
  <r>
    <n v="30"/>
    <x v="2"/>
    <n v="141297"/>
    <x v="0"/>
    <x v="0"/>
    <s v="Married-civ-spouse"/>
    <s v="Prof-specialty"/>
    <s v="Husband"/>
    <x v="2"/>
    <x v="0"/>
    <n v="0"/>
    <n v="0"/>
    <n v="40"/>
    <x v="1"/>
    <x v="1"/>
  </r>
  <r>
    <n v="23"/>
    <x v="1"/>
    <n v="122272"/>
    <x v="0"/>
    <x v="0"/>
    <s v="Never-married"/>
    <s v="Adm-clerical"/>
    <s v="Own-child"/>
    <x v="0"/>
    <x v="1"/>
    <n v="0"/>
    <n v="0"/>
    <n v="30"/>
    <x v="0"/>
    <x v="0"/>
  </r>
  <r>
    <n v="25"/>
    <x v="0"/>
    <n v="176756"/>
    <x v="2"/>
    <x v="2"/>
    <s v="Never-married"/>
    <s v="Farming-fishing"/>
    <s v="Own-child"/>
    <x v="0"/>
    <x v="0"/>
    <n v="0"/>
    <n v="0"/>
    <n v="35"/>
    <x v="0"/>
    <x v="0"/>
  </r>
  <r>
    <n v="32"/>
    <x v="1"/>
    <n v="186824"/>
    <x v="2"/>
    <x v="2"/>
    <s v="Never-married"/>
    <s v="Machine-op-inspct"/>
    <s v="Unmarried"/>
    <x v="0"/>
    <x v="0"/>
    <n v="0"/>
    <n v="0"/>
    <n v="40"/>
    <x v="0"/>
    <x v="0"/>
  </r>
  <r>
    <n v="38"/>
    <x v="1"/>
    <n v="28887"/>
    <x v="1"/>
    <x v="1"/>
    <s v="Married-civ-spouse"/>
    <s v="Sales"/>
    <s v="Husband"/>
    <x v="0"/>
    <x v="0"/>
    <n v="0"/>
    <n v="0"/>
    <n v="50"/>
    <x v="0"/>
    <x v="0"/>
  </r>
  <r>
    <n v="43"/>
    <x v="0"/>
    <n v="292175"/>
    <x v="3"/>
    <x v="3"/>
    <s v="Divorced"/>
    <s v="Exec-managerial"/>
    <s v="Unmarried"/>
    <x v="0"/>
    <x v="1"/>
    <n v="0"/>
    <n v="0"/>
    <n v="4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G46" firstHeaderRow="1" firstDataRow="3" firstDataCol="1"/>
  <pivotFields count="7">
    <pivotField axis="axisRow" showAll="0">
      <items count="11">
        <item x="2"/>
        <item x="4"/>
        <item x="3"/>
        <item x="5"/>
        <item x="0"/>
        <item x="1"/>
        <item x="7"/>
        <item x="6"/>
        <item x="8"/>
        <item x="9"/>
        <item t="default"/>
      </items>
    </pivotField>
    <pivotField axis="axisCol" showAll="0">
      <items count="3">
        <item x="1"/>
        <item x="0"/>
        <item t="default"/>
      </items>
    </pivotField>
    <pivotField axis="axisRow" showAll="0">
      <items count="7">
        <item x="4"/>
        <item x="2"/>
        <item x="5"/>
        <item x="3"/>
        <item x="0"/>
        <item x="1"/>
        <item t="default"/>
      </items>
    </pivotField>
    <pivotField axis="axisRow" showAll="0">
      <items count="7">
        <item x="4"/>
        <item x="1"/>
        <item x="3"/>
        <item x="5"/>
        <item x="2"/>
        <item x="0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dataField="1" numFmtId="9" showAll="0">
      <items count="11">
        <item x="7"/>
        <item x="1"/>
        <item x="2"/>
        <item x="8"/>
        <item x="0"/>
        <item x="5"/>
        <item x="4"/>
        <item x="9"/>
        <item x="3"/>
        <item x="6"/>
        <item t="default"/>
      </items>
    </pivotField>
    <pivotField dataField="1" showAll="0">
      <items count="10">
        <item x="4"/>
        <item x="8"/>
        <item x="6"/>
        <item x="3"/>
        <item x="7"/>
        <item x="1"/>
        <item x="5"/>
        <item x="2"/>
        <item x="0"/>
        <item t="default"/>
      </items>
    </pivotField>
  </pivotFields>
  <rowFields count="4">
    <field x="0"/>
    <field x="4"/>
    <field x="2"/>
    <field x="3"/>
  </rowFields>
  <rowItems count="41">
    <i>
      <x/>
    </i>
    <i r="1">
      <x v="4"/>
    </i>
    <i r="2">
      <x v="1"/>
    </i>
    <i r="3">
      <x v="4"/>
    </i>
    <i>
      <x v="1"/>
    </i>
    <i r="1">
      <x/>
    </i>
    <i r="2">
      <x/>
    </i>
    <i r="3">
      <x/>
    </i>
    <i>
      <x v="2"/>
    </i>
    <i r="1">
      <x v="2"/>
    </i>
    <i r="2">
      <x v="3"/>
    </i>
    <i r="3">
      <x v="2"/>
    </i>
    <i>
      <x v="3"/>
    </i>
    <i r="1">
      <x v="3"/>
    </i>
    <i r="2">
      <x v="5"/>
    </i>
    <i r="3">
      <x v="3"/>
    </i>
    <i>
      <x v="4"/>
    </i>
    <i r="1">
      <x v="4"/>
    </i>
    <i r="2">
      <x v="4"/>
    </i>
    <i r="3">
      <x v="5"/>
    </i>
    <i>
      <x v="5"/>
    </i>
    <i r="1">
      <x v="1"/>
    </i>
    <i r="2">
      <x v="5"/>
    </i>
    <i r="3">
      <x v="1"/>
    </i>
    <i>
      <x v="6"/>
    </i>
    <i r="1">
      <x/>
    </i>
    <i r="2">
      <x v="2"/>
    </i>
    <i r="3">
      <x v="2"/>
    </i>
    <i>
      <x v="7"/>
    </i>
    <i r="1">
      <x/>
    </i>
    <i r="2">
      <x v="1"/>
    </i>
    <i r="3">
      <x/>
    </i>
    <i>
      <x v="8"/>
    </i>
    <i r="1">
      <x/>
    </i>
    <i r="2">
      <x v="1"/>
    </i>
    <i r="3">
      <x v="2"/>
    </i>
    <i>
      <x v="9"/>
    </i>
    <i r="1">
      <x v="1"/>
    </i>
    <i r="2">
      <x v="2"/>
    </i>
    <i r="3">
      <x v="1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G PERCENTAGE" fld="5" baseField="0" baseItem="0"/>
    <dataField name="Count of PG PERCENTAGE" fld="6" subtotal="count" baseField="0" baseItem="0"/>
  </dataFields>
  <formats count="8">
    <format dxfId="159">
      <pivotArea type="all" dataOnly="0" outline="0" fieldPosition="0"/>
    </format>
    <format dxfId="158">
      <pivotArea outline="0" collapsedLevelsAreSubtotals="1" fieldPosition="0"/>
    </format>
    <format dxfId="157">
      <pivotArea dataOnly="0" labelOnly="1" fieldPosition="0">
        <references count="1">
          <reference field="0" count="7">
            <x v="0"/>
            <x v="1"/>
            <x v="3"/>
            <x v="4"/>
            <x v="6"/>
            <x v="7"/>
            <x v="9"/>
          </reference>
        </references>
      </pivotArea>
    </format>
    <format dxfId="156">
      <pivotArea dataOnly="0" labelOnly="1" grandRow="1" outline="0" fieldPosition="0"/>
    </format>
    <format dxfId="155">
      <pivotArea dataOnly="0" labelOnly="1" fieldPosition="0">
        <references count="2">
          <reference field="0" count="1" selected="0">
            <x v="0"/>
          </reference>
          <reference field="4" count="4">
            <x v="0"/>
            <x v="1"/>
            <x v="3"/>
            <x v="4"/>
          </reference>
        </references>
      </pivotArea>
    </format>
    <format dxfId="154">
      <pivotArea dataOnly="0" labelOnly="1" fieldPosition="0">
        <references count="3">
          <reference field="0" count="1" selected="0">
            <x v="0"/>
          </reference>
          <reference field="2" count="5">
            <x v="0"/>
            <x v="1"/>
            <x v="2"/>
            <x v="4"/>
            <x v="5"/>
          </reference>
          <reference field="4" count="1" selected="0">
            <x v="4"/>
          </reference>
        </references>
      </pivotArea>
    </format>
    <format dxfId="153">
      <pivotArea dataOnly="0" labelOnly="1" fieldPosition="0">
        <references count="1">
          <reference field="1" count="0"/>
        </references>
      </pivotArea>
    </format>
    <format dxfId="15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C51" firstHeaderRow="0" firstDataRow="1" firstDataCol="1"/>
  <pivotFields count="15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6">
    <field x="1"/>
    <field x="3"/>
    <field x="8"/>
    <field x="9"/>
    <field x="14"/>
    <field x="13"/>
  </rowFields>
  <rowItems count="48">
    <i>
      <x/>
    </i>
    <i r="1">
      <x/>
    </i>
    <i r="2">
      <x v="1"/>
    </i>
    <i r="3">
      <x v="1"/>
    </i>
    <i r="4">
      <x/>
    </i>
    <i r="5">
      <x v="1"/>
    </i>
    <i r="2">
      <x v="2"/>
    </i>
    <i r="3">
      <x v="1"/>
    </i>
    <i r="4">
      <x/>
    </i>
    <i r="5">
      <x v="1"/>
    </i>
    <i r="1">
      <x v="1"/>
    </i>
    <i r="2">
      <x v="2"/>
    </i>
    <i r="3">
      <x/>
    </i>
    <i r="4">
      <x/>
    </i>
    <i r="5">
      <x v="1"/>
    </i>
    <i r="3">
      <x v="1"/>
    </i>
    <i r="4">
      <x v="1"/>
    </i>
    <i r="5">
      <x v="1"/>
    </i>
    <i r="1">
      <x v="2"/>
    </i>
    <i r="2">
      <x v="2"/>
    </i>
    <i r="3">
      <x v="1"/>
    </i>
    <i r="4">
      <x/>
    </i>
    <i r="5">
      <x v="1"/>
    </i>
    <i>
      <x v="1"/>
    </i>
    <i r="1">
      <x v="1"/>
    </i>
    <i r="2">
      <x v="2"/>
    </i>
    <i r="3">
      <x v="1"/>
    </i>
    <i r="4">
      <x/>
    </i>
    <i r="5">
      <x v="1"/>
    </i>
    <i r="1">
      <x v="2"/>
    </i>
    <i r="2">
      <x v="2"/>
    </i>
    <i r="3">
      <x v="1"/>
    </i>
    <i r="4">
      <x/>
    </i>
    <i r="5">
      <x v="1"/>
    </i>
    <i r="4">
      <x v="1"/>
    </i>
    <i r="5">
      <x v="1"/>
    </i>
    <i r="1">
      <x v="3"/>
    </i>
    <i r="2">
      <x v="2"/>
    </i>
    <i r="3">
      <x/>
    </i>
    <i r="4">
      <x v="1"/>
    </i>
    <i r="5">
      <x v="1"/>
    </i>
    <i>
      <x v="2"/>
    </i>
    <i r="1">
      <x v="1"/>
    </i>
    <i r="2">
      <x/>
    </i>
    <i r="3">
      <x v="1"/>
    </i>
    <i r="4">
      <x v="1"/>
    </i>
    <i r="5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ge" fld="0" baseField="0" baseItem="0"/>
    <dataField name="Sum of education_num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4" displayName="Table4" ref="A14:G24" totalsRowShown="0" headerRowDxfId="123" dataDxfId="122">
  <autoFilter ref="A14:G24"/>
  <tableColumns count="7">
    <tableColumn id="1" name="name" dataDxfId="121"/>
    <tableColumn id="2" name="gender" dataDxfId="120"/>
    <tableColumn id="3" name="age" dataDxfId="119"/>
    <tableColumn id="4" name="UG" dataDxfId="118"/>
    <tableColumn id="5" name="PG" dataDxfId="117"/>
    <tableColumn id="6" name="UG PERCENTAGE" dataDxfId="116"/>
    <tableColumn id="7" name="PG PERCENTAGE" dataDxfId="115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id="2" name="Table9" displayName="Table9" ref="A1:F9" totalsRowShown="0">
  <autoFilter ref="A1:F9"/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Medium26" showFirstColumn="0" showLastColumn="0" showRowStripes="1" showColumnStripes="0"/>
</table>
</file>

<file path=xl/tables/table3.xml><?xml version="1.0" encoding="utf-8"?>
<table xmlns="http://schemas.openxmlformats.org/spreadsheetml/2006/main" id="3" name="Table24" displayName="Table24" ref="A25:E31" totalsRowShown="0" headerRowDxfId="23">
  <autoFilter ref="A25:E31"/>
  <sortState ref="A26:E31">
    <sortCondition ref="A11:A16"/>
  </sortState>
  <tableColumns count="5">
    <tableColumn id="1" name="workers" dataDxfId="22"/>
    <tableColumn id="2" name="in " dataDxfId="21"/>
    <tableColumn id="3" name="out" dataDxfId="20"/>
    <tableColumn id="4" name="reason"/>
    <tableColumn id="5" name="wages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A1:O11" totalsRowShown="0" headerRowDxfId="0" dataDxfId="1" headerRowBorderDxfId="18" tableBorderDxfId="19" totalsRowBorderDxfId="17">
  <autoFilter ref="A1:O11"/>
  <tableColumns count="15">
    <tableColumn id="1" name="age" dataDxfId="16"/>
    <tableColumn id="2" name="workclass" dataDxfId="15"/>
    <tableColumn id="3" name="fnlwgt" dataDxfId="14"/>
    <tableColumn id="4" name="education" dataDxfId="13"/>
    <tableColumn id="5" name="education_num" dataDxfId="12"/>
    <tableColumn id="6" name="marital-status" dataDxfId="11"/>
    <tableColumn id="7" name="occupation" dataDxfId="10"/>
    <tableColumn id="8" name="relationship" dataDxfId="9"/>
    <tableColumn id="9" name="race" dataDxfId="8"/>
    <tableColumn id="10" name="gender" dataDxfId="7"/>
    <tableColumn id="11" name="capitalGain" dataDxfId="6"/>
    <tableColumn id="12" name="capitalLoss" dataDxfId="5"/>
    <tableColumn id="13" name="hoursPerWeek" dataDxfId="4"/>
    <tableColumn id="14" name="nativeCountry" dataDxfId="3"/>
    <tableColumn id="15" name="inco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Synergy%20certificate.doc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6"/>
  <sheetViews>
    <sheetView workbookViewId="0">
      <selection activeCell="C3" sqref="C3"/>
    </sheetView>
  </sheetViews>
  <sheetFormatPr defaultRowHeight="15" x14ac:dyDescent="0.25"/>
  <cols>
    <col min="1" max="1" width="13.85546875" customWidth="1"/>
    <col min="2" max="2" width="22.85546875" customWidth="1"/>
    <col min="3" max="3" width="24" customWidth="1"/>
    <col min="4" max="4" width="22.85546875" customWidth="1"/>
    <col min="5" max="5" width="24" customWidth="1"/>
    <col min="6" max="6" width="27.85546875" customWidth="1"/>
    <col min="7" max="7" width="29" customWidth="1"/>
    <col min="8" max="10" width="5" customWidth="1"/>
    <col min="11" max="11" width="7.28515625" customWidth="1"/>
    <col min="12" max="12" width="10.28515625" customWidth="1"/>
    <col min="13" max="13" width="11.28515625" bestFit="1" customWidth="1"/>
    <col min="14" max="14" width="11.42578125" bestFit="1" customWidth="1"/>
    <col min="15" max="15" width="6.140625" bestFit="1" customWidth="1"/>
    <col min="17" max="17" width="7.140625" bestFit="1" customWidth="1"/>
    <col min="18" max="18" width="10.140625" bestFit="1" customWidth="1"/>
    <col min="19" max="19" width="5.85546875" bestFit="1" customWidth="1"/>
    <col min="20" max="20" width="8.85546875" bestFit="1" customWidth="1"/>
    <col min="21" max="21" width="10.28515625" bestFit="1" customWidth="1"/>
    <col min="22" max="22" width="11.28515625" bestFit="1" customWidth="1"/>
  </cols>
  <sheetData>
    <row r="2" spans="1:7" ht="15.75" thickBot="1" x14ac:dyDescent="0.3"/>
    <row r="3" spans="1:7" ht="15.75" thickBot="1" x14ac:dyDescent="0.3">
      <c r="A3" s="27"/>
      <c r="B3" s="9" t="s">
        <v>31</v>
      </c>
      <c r="C3" s="28"/>
      <c r="D3" s="28"/>
      <c r="E3" s="28"/>
      <c r="F3" s="28"/>
      <c r="G3" s="10"/>
    </row>
    <row r="4" spans="1:7" ht="15.75" thickBot="1" x14ac:dyDescent="0.3">
      <c r="A4" s="29"/>
      <c r="B4" s="31" t="s">
        <v>11</v>
      </c>
      <c r="C4" s="37"/>
      <c r="D4" s="37" t="s">
        <v>8</v>
      </c>
      <c r="E4" s="32"/>
      <c r="F4" s="27" t="s">
        <v>34</v>
      </c>
      <c r="G4" s="10" t="s">
        <v>35</v>
      </c>
    </row>
    <row r="5" spans="1:7" ht="15.75" thickBot="1" x14ac:dyDescent="0.3">
      <c r="A5" s="11" t="s">
        <v>29</v>
      </c>
      <c r="B5" s="12" t="s">
        <v>32</v>
      </c>
      <c r="C5" s="12" t="s">
        <v>36</v>
      </c>
      <c r="D5" s="12" t="s">
        <v>32</v>
      </c>
      <c r="E5" s="12" t="s">
        <v>36</v>
      </c>
      <c r="F5" s="33"/>
      <c r="G5" s="34"/>
    </row>
    <row r="6" spans="1:7" ht="15.75" thickBot="1" x14ac:dyDescent="0.3">
      <c r="A6" s="25" t="s">
        <v>14</v>
      </c>
      <c r="B6" s="21"/>
      <c r="C6" s="30"/>
      <c r="D6" s="30">
        <v>0.78</v>
      </c>
      <c r="E6" s="30"/>
      <c r="F6" s="30">
        <v>0.78</v>
      </c>
      <c r="G6" s="22"/>
    </row>
    <row r="7" spans="1:7" ht="15.75" thickBot="1" x14ac:dyDescent="0.3">
      <c r="A7" s="35" t="s">
        <v>33</v>
      </c>
      <c r="B7" s="23"/>
      <c r="C7" s="14"/>
      <c r="D7" s="14">
        <v>0.78</v>
      </c>
      <c r="E7" s="14"/>
      <c r="F7" s="14">
        <v>0.78</v>
      </c>
      <c r="G7" s="15"/>
    </row>
    <row r="8" spans="1:7" ht="15.75" thickBot="1" x14ac:dyDescent="0.3">
      <c r="A8" s="36">
        <v>21</v>
      </c>
      <c r="B8" s="23"/>
      <c r="C8" s="14"/>
      <c r="D8" s="14">
        <v>0.78</v>
      </c>
      <c r="E8" s="14"/>
      <c r="F8" s="14">
        <v>0.78</v>
      </c>
      <c r="G8" s="15"/>
    </row>
    <row r="9" spans="1:7" ht="15.75" thickBot="1" x14ac:dyDescent="0.3">
      <c r="A9" s="18" t="s">
        <v>15</v>
      </c>
      <c r="B9" s="23"/>
      <c r="C9" s="14"/>
      <c r="D9" s="14">
        <v>0.78</v>
      </c>
      <c r="E9" s="14"/>
      <c r="F9" s="14">
        <v>0.78</v>
      </c>
      <c r="G9" s="15"/>
    </row>
    <row r="10" spans="1:7" ht="15.75" thickBot="1" x14ac:dyDescent="0.3">
      <c r="A10" s="25" t="s">
        <v>19</v>
      </c>
      <c r="B10" s="23"/>
      <c r="C10" s="14"/>
      <c r="D10" s="14">
        <v>0.83</v>
      </c>
      <c r="E10" s="14">
        <v>1</v>
      </c>
      <c r="F10" s="14">
        <v>0.83</v>
      </c>
      <c r="G10" s="15">
        <v>1</v>
      </c>
    </row>
    <row r="11" spans="1:7" x14ac:dyDescent="0.25">
      <c r="A11" s="16" t="s">
        <v>21</v>
      </c>
      <c r="B11" s="23"/>
      <c r="C11" s="14"/>
      <c r="D11" s="14">
        <v>0.83</v>
      </c>
      <c r="E11" s="14">
        <v>1</v>
      </c>
      <c r="F11" s="14">
        <v>0.83</v>
      </c>
      <c r="G11" s="15">
        <v>1</v>
      </c>
    </row>
    <row r="12" spans="1:7" x14ac:dyDescent="0.25">
      <c r="A12" s="17">
        <v>19</v>
      </c>
      <c r="B12" s="23"/>
      <c r="C12" s="14"/>
      <c r="D12" s="14">
        <v>0.83</v>
      </c>
      <c r="E12" s="14">
        <v>1</v>
      </c>
      <c r="F12" s="14">
        <v>0.83</v>
      </c>
      <c r="G12" s="15">
        <v>1</v>
      </c>
    </row>
    <row r="13" spans="1:7" x14ac:dyDescent="0.25">
      <c r="A13" s="18" t="s">
        <v>20</v>
      </c>
      <c r="B13" s="23"/>
      <c r="C13" s="14"/>
      <c r="D13" s="14">
        <v>0.83</v>
      </c>
      <c r="E13" s="14">
        <v>1</v>
      </c>
      <c r="F13" s="14">
        <v>0.83</v>
      </c>
      <c r="G13" s="15">
        <v>1</v>
      </c>
    </row>
    <row r="14" spans="1:7" x14ac:dyDescent="0.25">
      <c r="A14" s="13" t="s">
        <v>16</v>
      </c>
      <c r="B14" s="23">
        <v>0.9</v>
      </c>
      <c r="C14" s="14">
        <v>1</v>
      </c>
      <c r="D14" s="14"/>
      <c r="E14" s="14"/>
      <c r="F14" s="14">
        <v>0.9</v>
      </c>
      <c r="G14" s="15">
        <v>1</v>
      </c>
    </row>
    <row r="15" spans="1:7" x14ac:dyDescent="0.25">
      <c r="A15" s="16" t="s">
        <v>18</v>
      </c>
      <c r="B15" s="23">
        <v>0.9</v>
      </c>
      <c r="C15" s="14">
        <v>1</v>
      </c>
      <c r="D15" s="14"/>
      <c r="E15" s="14"/>
      <c r="F15" s="14">
        <v>0.9</v>
      </c>
      <c r="G15" s="15">
        <v>1</v>
      </c>
    </row>
    <row r="16" spans="1:7" x14ac:dyDescent="0.25">
      <c r="A16" s="17">
        <v>23</v>
      </c>
      <c r="B16" s="23">
        <v>0.9</v>
      </c>
      <c r="C16" s="14">
        <v>1</v>
      </c>
      <c r="D16" s="14"/>
      <c r="E16" s="14"/>
      <c r="F16" s="14">
        <v>0.9</v>
      </c>
      <c r="G16" s="15">
        <v>1</v>
      </c>
    </row>
    <row r="17" spans="1:7" ht="15.75" thickBot="1" x14ac:dyDescent="0.3">
      <c r="A17" s="18" t="s">
        <v>17</v>
      </c>
      <c r="B17" s="23">
        <v>0.9</v>
      </c>
      <c r="C17" s="14">
        <v>1</v>
      </c>
      <c r="D17" s="14"/>
      <c r="E17" s="14"/>
      <c r="F17" s="14">
        <v>0.9</v>
      </c>
      <c r="G17" s="15">
        <v>1</v>
      </c>
    </row>
    <row r="18" spans="1:7" ht="15.75" thickBot="1" x14ac:dyDescent="0.3">
      <c r="A18" s="25" t="s">
        <v>22</v>
      </c>
      <c r="B18" s="23"/>
      <c r="C18" s="14"/>
      <c r="D18" s="14">
        <v>0.81</v>
      </c>
      <c r="E18" s="14">
        <v>1</v>
      </c>
      <c r="F18" s="14">
        <v>0.81</v>
      </c>
      <c r="G18" s="15">
        <v>1</v>
      </c>
    </row>
    <row r="19" spans="1:7" x14ac:dyDescent="0.25">
      <c r="A19" s="16" t="s">
        <v>24</v>
      </c>
      <c r="B19" s="23"/>
      <c r="C19" s="14"/>
      <c r="D19" s="14">
        <v>0.81</v>
      </c>
      <c r="E19" s="14">
        <v>1</v>
      </c>
      <c r="F19" s="14">
        <v>0.81</v>
      </c>
      <c r="G19" s="15">
        <v>1</v>
      </c>
    </row>
    <row r="20" spans="1:7" x14ac:dyDescent="0.25">
      <c r="A20" s="17">
        <v>25</v>
      </c>
      <c r="B20" s="23"/>
      <c r="C20" s="14"/>
      <c r="D20" s="14">
        <v>0.81</v>
      </c>
      <c r="E20" s="14">
        <v>1</v>
      </c>
      <c r="F20" s="14">
        <v>0.81</v>
      </c>
      <c r="G20" s="15">
        <v>1</v>
      </c>
    </row>
    <row r="21" spans="1:7" ht="15.75" thickBot="1" x14ac:dyDescent="0.3">
      <c r="A21" s="18" t="s">
        <v>23</v>
      </c>
      <c r="B21" s="23"/>
      <c r="C21" s="14"/>
      <c r="D21" s="14">
        <v>0.81</v>
      </c>
      <c r="E21" s="14">
        <v>1</v>
      </c>
      <c r="F21" s="14">
        <v>0.81</v>
      </c>
      <c r="G21" s="15">
        <v>1</v>
      </c>
    </row>
    <row r="22" spans="1:7" ht="15.75" thickBot="1" x14ac:dyDescent="0.3">
      <c r="A22" s="25" t="s">
        <v>7</v>
      </c>
      <c r="B22" s="23"/>
      <c r="C22" s="14"/>
      <c r="D22" s="14">
        <v>0.8</v>
      </c>
      <c r="E22" s="14"/>
      <c r="F22" s="14">
        <v>0.8</v>
      </c>
      <c r="G22" s="15"/>
    </row>
    <row r="23" spans="1:7" x14ac:dyDescent="0.25">
      <c r="A23" s="16" t="s">
        <v>33</v>
      </c>
      <c r="B23" s="23"/>
      <c r="C23" s="14"/>
      <c r="D23" s="14">
        <v>0.8</v>
      </c>
      <c r="E23" s="14"/>
      <c r="F23" s="14">
        <v>0.8</v>
      </c>
      <c r="G23" s="15"/>
    </row>
    <row r="24" spans="1:7" x14ac:dyDescent="0.25">
      <c r="A24" s="17">
        <v>24</v>
      </c>
      <c r="B24" s="23"/>
      <c r="C24" s="14"/>
      <c r="D24" s="14">
        <v>0.8</v>
      </c>
      <c r="E24" s="14"/>
      <c r="F24" s="14">
        <v>0.8</v>
      </c>
      <c r="G24" s="15"/>
    </row>
    <row r="25" spans="1:7" x14ac:dyDescent="0.25">
      <c r="A25" s="18" t="s">
        <v>9</v>
      </c>
      <c r="B25" s="23"/>
      <c r="C25" s="14"/>
      <c r="D25" s="14">
        <v>0.8</v>
      </c>
      <c r="E25" s="14"/>
      <c r="F25" s="14">
        <v>0.8</v>
      </c>
      <c r="G25" s="15"/>
    </row>
    <row r="26" spans="1:7" x14ac:dyDescent="0.25">
      <c r="A26" s="13" t="s">
        <v>10</v>
      </c>
      <c r="B26" s="23">
        <v>0.75</v>
      </c>
      <c r="C26" s="14">
        <v>1</v>
      </c>
      <c r="D26" s="14"/>
      <c r="E26" s="14"/>
      <c r="F26" s="14">
        <v>0.75</v>
      </c>
      <c r="G26" s="15">
        <v>1</v>
      </c>
    </row>
    <row r="27" spans="1:7" x14ac:dyDescent="0.25">
      <c r="A27" s="16" t="s">
        <v>13</v>
      </c>
      <c r="B27" s="23">
        <v>0.75</v>
      </c>
      <c r="C27" s="14">
        <v>1</v>
      </c>
      <c r="D27" s="14"/>
      <c r="E27" s="14"/>
      <c r="F27" s="14">
        <v>0.75</v>
      </c>
      <c r="G27" s="15">
        <v>1</v>
      </c>
    </row>
    <row r="28" spans="1:7" x14ac:dyDescent="0.25">
      <c r="A28" s="17">
        <v>25</v>
      </c>
      <c r="B28" s="23">
        <v>0.75</v>
      </c>
      <c r="C28" s="14">
        <v>1</v>
      </c>
      <c r="D28" s="14"/>
      <c r="E28" s="14"/>
      <c r="F28" s="14">
        <v>0.75</v>
      </c>
      <c r="G28" s="15">
        <v>1</v>
      </c>
    </row>
    <row r="29" spans="1:7" ht="15.75" thickBot="1" x14ac:dyDescent="0.3">
      <c r="A29" s="18" t="s">
        <v>12</v>
      </c>
      <c r="B29" s="23">
        <v>0.75</v>
      </c>
      <c r="C29" s="14">
        <v>1</v>
      </c>
      <c r="D29" s="14"/>
      <c r="E29" s="14"/>
      <c r="F29" s="14">
        <v>0.75</v>
      </c>
      <c r="G29" s="15">
        <v>1</v>
      </c>
    </row>
    <row r="30" spans="1:7" ht="15.75" thickBot="1" x14ac:dyDescent="0.3">
      <c r="A30" s="25" t="s">
        <v>26</v>
      </c>
      <c r="B30" s="23"/>
      <c r="C30" s="14"/>
      <c r="D30" s="14">
        <v>0.7</v>
      </c>
      <c r="E30" s="14">
        <v>1</v>
      </c>
      <c r="F30" s="14">
        <v>0.7</v>
      </c>
      <c r="G30" s="15">
        <v>1</v>
      </c>
    </row>
    <row r="31" spans="1:7" x14ac:dyDescent="0.25">
      <c r="A31" s="16" t="s">
        <v>21</v>
      </c>
      <c r="B31" s="23"/>
      <c r="C31" s="14"/>
      <c r="D31" s="14">
        <v>0.7</v>
      </c>
      <c r="E31" s="14">
        <v>1</v>
      </c>
      <c r="F31" s="14">
        <v>0.7</v>
      </c>
      <c r="G31" s="15">
        <v>1</v>
      </c>
    </row>
    <row r="32" spans="1:7" x14ac:dyDescent="0.25">
      <c r="A32" s="17">
        <v>22</v>
      </c>
      <c r="B32" s="23"/>
      <c r="C32" s="14"/>
      <c r="D32" s="14">
        <v>0.7</v>
      </c>
      <c r="E32" s="14">
        <v>1</v>
      </c>
      <c r="F32" s="14">
        <v>0.7</v>
      </c>
      <c r="G32" s="15">
        <v>1</v>
      </c>
    </row>
    <row r="33" spans="1:7" ht="15.75" thickBot="1" x14ac:dyDescent="0.3">
      <c r="A33" s="18" t="s">
        <v>17</v>
      </c>
      <c r="B33" s="23"/>
      <c r="C33" s="14"/>
      <c r="D33" s="14">
        <v>0.7</v>
      </c>
      <c r="E33" s="14">
        <v>1</v>
      </c>
      <c r="F33" s="14">
        <v>0.7</v>
      </c>
      <c r="G33" s="15">
        <v>1</v>
      </c>
    </row>
    <row r="34" spans="1:7" ht="15.75" thickBot="1" x14ac:dyDescent="0.3">
      <c r="A34" s="25" t="s">
        <v>25</v>
      </c>
      <c r="B34" s="23"/>
      <c r="C34" s="14"/>
      <c r="D34" s="14">
        <v>0.95</v>
      </c>
      <c r="E34" s="14">
        <v>1</v>
      </c>
      <c r="F34" s="14">
        <v>0.95</v>
      </c>
      <c r="G34" s="15">
        <v>1</v>
      </c>
    </row>
    <row r="35" spans="1:7" x14ac:dyDescent="0.25">
      <c r="A35" s="16" t="s">
        <v>21</v>
      </c>
      <c r="B35" s="23"/>
      <c r="C35" s="14"/>
      <c r="D35" s="14">
        <v>0.95</v>
      </c>
      <c r="E35" s="14">
        <v>1</v>
      </c>
      <c r="F35" s="14">
        <v>0.95</v>
      </c>
      <c r="G35" s="15">
        <v>1</v>
      </c>
    </row>
    <row r="36" spans="1:7" x14ac:dyDescent="0.25">
      <c r="A36" s="17">
        <v>21</v>
      </c>
      <c r="B36" s="23"/>
      <c r="C36" s="14"/>
      <c r="D36" s="14">
        <v>0.95</v>
      </c>
      <c r="E36" s="14">
        <v>1</v>
      </c>
      <c r="F36" s="14">
        <v>0.95</v>
      </c>
      <c r="G36" s="15">
        <v>1</v>
      </c>
    </row>
    <row r="37" spans="1:7" x14ac:dyDescent="0.25">
      <c r="A37" s="18" t="s">
        <v>20</v>
      </c>
      <c r="B37" s="23"/>
      <c r="C37" s="14"/>
      <c r="D37" s="14">
        <v>0.95</v>
      </c>
      <c r="E37" s="14">
        <v>1</v>
      </c>
      <c r="F37" s="14">
        <v>0.95</v>
      </c>
      <c r="G37" s="15">
        <v>1</v>
      </c>
    </row>
    <row r="38" spans="1:7" x14ac:dyDescent="0.25">
      <c r="A38" s="13" t="s">
        <v>27</v>
      </c>
      <c r="B38" s="23">
        <v>0.79</v>
      </c>
      <c r="C38" s="14">
        <v>1</v>
      </c>
      <c r="D38" s="14"/>
      <c r="E38" s="14"/>
      <c r="F38" s="14">
        <v>0.79</v>
      </c>
      <c r="G38" s="15">
        <v>1</v>
      </c>
    </row>
    <row r="39" spans="1:7" x14ac:dyDescent="0.25">
      <c r="A39" s="16" t="s">
        <v>21</v>
      </c>
      <c r="B39" s="23">
        <v>0.79</v>
      </c>
      <c r="C39" s="14">
        <v>1</v>
      </c>
      <c r="D39" s="14"/>
      <c r="E39" s="14"/>
      <c r="F39" s="14">
        <v>0.79</v>
      </c>
      <c r="G39" s="15">
        <v>1</v>
      </c>
    </row>
    <row r="40" spans="1:7" x14ac:dyDescent="0.25">
      <c r="A40" s="17">
        <v>21</v>
      </c>
      <c r="B40" s="23">
        <v>0.79</v>
      </c>
      <c r="C40" s="14">
        <v>1</v>
      </c>
      <c r="D40" s="14"/>
      <c r="E40" s="14"/>
      <c r="F40" s="14">
        <v>0.79</v>
      </c>
      <c r="G40" s="15">
        <v>1</v>
      </c>
    </row>
    <row r="41" spans="1:7" ht="15.75" thickBot="1" x14ac:dyDescent="0.3">
      <c r="A41" s="18" t="s">
        <v>17</v>
      </c>
      <c r="B41" s="23">
        <v>0.79</v>
      </c>
      <c r="C41" s="14">
        <v>1</v>
      </c>
      <c r="D41" s="14"/>
      <c r="E41" s="14"/>
      <c r="F41" s="14">
        <v>0.79</v>
      </c>
      <c r="G41" s="15">
        <v>1</v>
      </c>
    </row>
    <row r="42" spans="1:7" ht="15.75" thickBot="1" x14ac:dyDescent="0.3">
      <c r="A42" s="25" t="s">
        <v>28</v>
      </c>
      <c r="B42" s="23"/>
      <c r="C42" s="14"/>
      <c r="D42" s="14">
        <v>0.88</v>
      </c>
      <c r="E42" s="14">
        <v>1</v>
      </c>
      <c r="F42" s="14">
        <v>0.88</v>
      </c>
      <c r="G42" s="15">
        <v>1</v>
      </c>
    </row>
    <row r="43" spans="1:7" x14ac:dyDescent="0.25">
      <c r="A43" s="16" t="s">
        <v>13</v>
      </c>
      <c r="B43" s="23"/>
      <c r="C43" s="14"/>
      <c r="D43" s="14">
        <v>0.88</v>
      </c>
      <c r="E43" s="14">
        <v>1</v>
      </c>
      <c r="F43" s="14">
        <v>0.88</v>
      </c>
      <c r="G43" s="15">
        <v>1</v>
      </c>
    </row>
    <row r="44" spans="1:7" x14ac:dyDescent="0.25">
      <c r="A44" s="17">
        <v>22</v>
      </c>
      <c r="B44" s="23"/>
      <c r="C44" s="14"/>
      <c r="D44" s="14">
        <v>0.88</v>
      </c>
      <c r="E44" s="14">
        <v>1</v>
      </c>
      <c r="F44" s="14">
        <v>0.88</v>
      </c>
      <c r="G44" s="15">
        <v>1</v>
      </c>
    </row>
    <row r="45" spans="1:7" ht="15.75" thickBot="1" x14ac:dyDescent="0.3">
      <c r="A45" s="18" t="s">
        <v>12</v>
      </c>
      <c r="B45" s="23"/>
      <c r="C45" s="14"/>
      <c r="D45" s="14">
        <v>0.88</v>
      </c>
      <c r="E45" s="14">
        <v>1</v>
      </c>
      <c r="F45" s="14">
        <v>0.88</v>
      </c>
      <c r="G45" s="15">
        <v>1</v>
      </c>
    </row>
    <row r="46" spans="1:7" ht="15.75" thickBot="1" x14ac:dyDescent="0.3">
      <c r="A46" s="25" t="s">
        <v>30</v>
      </c>
      <c r="B46" s="24">
        <v>2.44</v>
      </c>
      <c r="C46" s="19">
        <v>3</v>
      </c>
      <c r="D46" s="19">
        <v>5.75</v>
      </c>
      <c r="E46" s="19">
        <v>5</v>
      </c>
      <c r="F46" s="19">
        <v>8.1900000000000013</v>
      </c>
      <c r="G46" s="2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activeCell="A14" sqref="A14:G24"/>
    </sheetView>
  </sheetViews>
  <sheetFormatPr defaultRowHeight="15" x14ac:dyDescent="0.25"/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3" spans="1:15" ht="6" customHeight="1" x14ac:dyDescent="0.25"/>
    <row r="14" spans="1:15" x14ac:dyDescent="0.25">
      <c r="A14" s="4" t="s">
        <v>2</v>
      </c>
      <c r="B14" s="4" t="s">
        <v>1</v>
      </c>
      <c r="C14" s="4" t="s">
        <v>0</v>
      </c>
      <c r="D14" s="4" t="s">
        <v>3</v>
      </c>
      <c r="E14" s="5" t="s">
        <v>4</v>
      </c>
      <c r="F14" s="4" t="s">
        <v>5</v>
      </c>
      <c r="G14" s="4" t="s">
        <v>6</v>
      </c>
    </row>
    <row r="15" spans="1:15" x14ac:dyDescent="0.25">
      <c r="A15" s="6" t="s">
        <v>7</v>
      </c>
      <c r="B15" s="6" t="s">
        <v>8</v>
      </c>
      <c r="C15" s="6">
        <v>24</v>
      </c>
      <c r="D15" s="6" t="s">
        <v>9</v>
      </c>
      <c r="E15" s="6"/>
      <c r="F15" s="7">
        <v>0.8</v>
      </c>
      <c r="G15" s="6"/>
    </row>
    <row r="16" spans="1:15" x14ac:dyDescent="0.25">
      <c r="A16" s="6" t="s">
        <v>10</v>
      </c>
      <c r="B16" s="6" t="s">
        <v>11</v>
      </c>
      <c r="C16" s="6">
        <v>25</v>
      </c>
      <c r="D16" s="6" t="s">
        <v>12</v>
      </c>
      <c r="E16" s="6" t="s">
        <v>13</v>
      </c>
      <c r="F16" s="7">
        <v>0.75</v>
      </c>
      <c r="G16" s="7">
        <v>0.91</v>
      </c>
    </row>
    <row r="17" spans="1:7" x14ac:dyDescent="0.25">
      <c r="A17" s="6" t="s">
        <v>14</v>
      </c>
      <c r="B17" s="6" t="s">
        <v>8</v>
      </c>
      <c r="C17" s="6">
        <v>21</v>
      </c>
      <c r="D17" s="6" t="s">
        <v>15</v>
      </c>
      <c r="E17" s="6"/>
      <c r="F17" s="7">
        <v>0.78</v>
      </c>
      <c r="G17" s="6"/>
    </row>
    <row r="18" spans="1:7" x14ac:dyDescent="0.25">
      <c r="A18" s="6" t="s">
        <v>16</v>
      </c>
      <c r="B18" s="6" t="s">
        <v>11</v>
      </c>
      <c r="C18" s="6">
        <v>23</v>
      </c>
      <c r="D18" s="6" t="s">
        <v>17</v>
      </c>
      <c r="E18" s="6" t="s">
        <v>18</v>
      </c>
      <c r="F18" s="7">
        <v>0.9</v>
      </c>
      <c r="G18" s="7">
        <v>0.95</v>
      </c>
    </row>
    <row r="19" spans="1:7" x14ac:dyDescent="0.25">
      <c r="A19" s="6" t="s">
        <v>19</v>
      </c>
      <c r="B19" s="6" t="s">
        <v>8</v>
      </c>
      <c r="C19" s="6">
        <v>19</v>
      </c>
      <c r="D19" s="6" t="s">
        <v>20</v>
      </c>
      <c r="E19" s="6" t="s">
        <v>21</v>
      </c>
      <c r="F19" s="7">
        <v>0.83</v>
      </c>
      <c r="G19" s="7">
        <v>0.89</v>
      </c>
    </row>
    <row r="20" spans="1:7" x14ac:dyDescent="0.25">
      <c r="A20" s="6" t="s">
        <v>22</v>
      </c>
      <c r="B20" s="6" t="s">
        <v>8</v>
      </c>
      <c r="C20" s="6">
        <v>25</v>
      </c>
      <c r="D20" s="6" t="s">
        <v>23</v>
      </c>
      <c r="E20" s="6" t="s">
        <v>24</v>
      </c>
      <c r="F20" s="7">
        <v>0.81</v>
      </c>
      <c r="G20" s="7">
        <v>0.78</v>
      </c>
    </row>
    <row r="21" spans="1:7" x14ac:dyDescent="0.25">
      <c r="A21" s="6" t="s">
        <v>25</v>
      </c>
      <c r="B21" s="6" t="s">
        <v>8</v>
      </c>
      <c r="C21" s="6">
        <v>21</v>
      </c>
      <c r="D21" s="6" t="s">
        <v>20</v>
      </c>
      <c r="E21" s="6" t="s">
        <v>21</v>
      </c>
      <c r="F21" s="7">
        <v>0.95</v>
      </c>
      <c r="G21" s="7">
        <v>0.92</v>
      </c>
    </row>
    <row r="22" spans="1:7" x14ac:dyDescent="0.25">
      <c r="A22" s="6" t="s">
        <v>26</v>
      </c>
      <c r="B22" s="8" t="s">
        <v>8</v>
      </c>
      <c r="C22" s="6">
        <v>22</v>
      </c>
      <c r="D22" s="6" t="s">
        <v>17</v>
      </c>
      <c r="E22" s="6" t="s">
        <v>21</v>
      </c>
      <c r="F22" s="7">
        <v>0.7</v>
      </c>
      <c r="G22" s="7">
        <v>0.85</v>
      </c>
    </row>
    <row r="23" spans="1:7" x14ac:dyDescent="0.25">
      <c r="A23" s="6" t="s">
        <v>27</v>
      </c>
      <c r="B23" s="6" t="s">
        <v>11</v>
      </c>
      <c r="C23" s="6">
        <v>21</v>
      </c>
      <c r="D23" s="6" t="s">
        <v>17</v>
      </c>
      <c r="E23" s="6" t="s">
        <v>21</v>
      </c>
      <c r="F23" s="7">
        <v>0.79</v>
      </c>
      <c r="G23" s="7">
        <v>0.9</v>
      </c>
    </row>
    <row r="24" spans="1:7" x14ac:dyDescent="0.25">
      <c r="A24" s="6" t="s">
        <v>28</v>
      </c>
      <c r="B24" s="6" t="s">
        <v>8</v>
      </c>
      <c r="C24" s="6">
        <v>22</v>
      </c>
      <c r="D24" s="6" t="s">
        <v>12</v>
      </c>
      <c r="E24" s="6" t="s">
        <v>13</v>
      </c>
      <c r="F24" s="7">
        <v>0.88</v>
      </c>
      <c r="G24" s="7">
        <v>0.8</v>
      </c>
    </row>
  </sheetData>
  <conditionalFormatting sqref="A2:O11">
    <cfRule type="iconSet" priority="31">
      <iconSet iconSet="3Arrows">
        <cfvo type="percent" val="0"/>
        <cfvo type="percent" val="33"/>
        <cfvo type="percent" val="67"/>
      </iconSet>
    </cfRule>
  </conditionalFormatting>
  <conditionalFormatting sqref="A15:G24">
    <cfRule type="cellIs" dxfId="151" priority="30" operator="greaterThan">
      <formula>80</formula>
    </cfRule>
  </conditionalFormatting>
  <conditionalFormatting sqref="C15">
    <cfRule type="cellIs" dxfId="150" priority="29" operator="lessThan">
      <formula>22</formula>
    </cfRule>
  </conditionalFormatting>
  <conditionalFormatting sqref="F15">
    <cfRule type="cellIs" dxfId="149" priority="28" operator="greaterThan">
      <formula>$F$2</formula>
    </cfRule>
  </conditionalFormatting>
  <conditionalFormatting sqref="F15:F24">
    <cfRule type="cellIs" dxfId="148" priority="2" operator="lessThan">
      <formula>0.8</formula>
    </cfRule>
    <cfRule type="cellIs" dxfId="147" priority="4" operator="greaterThan">
      <formula>0.89</formula>
    </cfRule>
    <cfRule type="cellIs" dxfId="146" priority="5" operator="lessThan">
      <formula>0.79</formula>
    </cfRule>
    <cfRule type="cellIs" dxfId="145" priority="6" operator="greaterThan">
      <formula>0.79</formula>
    </cfRule>
    <cfRule type="cellIs" dxfId="144" priority="7" operator="greaterThan">
      <formula>79</formula>
    </cfRule>
    <cfRule type="cellIs" dxfId="143" priority="8" operator="lessThan">
      <formula>0.8</formula>
    </cfRule>
    <cfRule type="aboveAverage" dxfId="142" priority="15"/>
    <cfRule type="cellIs" dxfId="141" priority="22" operator="greaterThan">
      <formula>0.79</formula>
    </cfRule>
    <cfRule type="cellIs" dxfId="140" priority="23" operator="greaterThan">
      <formula>0.8</formula>
    </cfRule>
    <cfRule type="cellIs" dxfId="139" priority="24" operator="greaterThan">
      <formula>80</formula>
    </cfRule>
    <cfRule type="cellIs" dxfId="138" priority="27" operator="greaterThan">
      <formula>0.83</formula>
    </cfRule>
  </conditionalFormatting>
  <conditionalFormatting sqref="G15:G24">
    <cfRule type="cellIs" dxfId="137" priority="3" operator="greaterThan">
      <formula>0.89</formula>
    </cfRule>
    <cfRule type="cellIs" dxfId="136" priority="20" operator="greaterThan">
      <formula>0.84</formula>
    </cfRule>
    <cfRule type="cellIs" dxfId="135" priority="21" operator="lessThan">
      <formula>80</formula>
    </cfRule>
    <cfRule type="cellIs" dxfId="134" priority="26" operator="greaterThan">
      <formula>90</formula>
    </cfRule>
  </conditionalFormatting>
  <conditionalFormatting sqref="G16:G24">
    <cfRule type="cellIs" dxfId="133" priority="25" operator="greaterThan">
      <formula>90</formula>
    </cfRule>
  </conditionalFormatting>
  <conditionalFormatting sqref="C15:C24">
    <cfRule type="cellIs" dxfId="132" priority="18" operator="between">
      <formula>21</formula>
      <formula>24</formula>
    </cfRule>
    <cfRule type="cellIs" dxfId="131" priority="19" operator="between">
      <formula>21</formula>
      <formula>23</formula>
    </cfRule>
  </conditionalFormatting>
  <conditionalFormatting sqref="B15:B24">
    <cfRule type="containsText" dxfId="130" priority="16" operator="containsText" text="female">
      <formula>NOT(ISERROR(SEARCH("female",B15)))</formula>
    </cfRule>
    <cfRule type="containsText" dxfId="129" priority="17" operator="containsText" text="male">
      <formula>NOT(ISERROR(SEARCH("male",B15)))</formula>
    </cfRule>
  </conditionalFormatting>
  <conditionalFormatting sqref="E15:E24">
    <cfRule type="uniqueValues" dxfId="128" priority="14"/>
  </conditionalFormatting>
  <conditionalFormatting sqref="D15:D24">
    <cfRule type="duplicateValues" dxfId="127" priority="9"/>
    <cfRule type="duplicateValues" dxfId="126" priority="10"/>
    <cfRule type="duplicateValues" dxfId="125" priority="13"/>
  </conditionalFormatting>
  <conditionalFormatting sqref="A15:A24">
    <cfRule type="uniqueValues" dxfId="124" priority="11"/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:A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22" r:id="rId1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tabSelected="1" topLeftCell="A70" workbookViewId="0">
      <selection activeCell="Q58" sqref="Q58:R62"/>
    </sheetView>
  </sheetViews>
  <sheetFormatPr defaultRowHeight="15" x14ac:dyDescent="0.25"/>
  <sheetData>
    <row r="1" spans="1:10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10" x14ac:dyDescent="0.25">
      <c r="A2">
        <v>1</v>
      </c>
      <c r="B2" t="s">
        <v>43</v>
      </c>
      <c r="C2" t="s">
        <v>44</v>
      </c>
      <c r="D2" t="s">
        <v>45</v>
      </c>
      <c r="E2">
        <v>7000000</v>
      </c>
      <c r="F2">
        <v>2</v>
      </c>
    </row>
    <row r="3" spans="1:10" x14ac:dyDescent="0.25">
      <c r="A3">
        <v>2</v>
      </c>
      <c r="B3" t="s">
        <v>46</v>
      </c>
      <c r="C3" t="s">
        <v>47</v>
      </c>
      <c r="D3" t="s">
        <v>48</v>
      </c>
      <c r="E3">
        <v>20000000</v>
      </c>
      <c r="F3">
        <v>3</v>
      </c>
    </row>
    <row r="4" spans="1:10" x14ac:dyDescent="0.25">
      <c r="A4">
        <v>3</v>
      </c>
      <c r="B4" t="s">
        <v>49</v>
      </c>
      <c r="C4" t="s">
        <v>50</v>
      </c>
      <c r="D4" t="s">
        <v>51</v>
      </c>
      <c r="E4">
        <v>10000000</v>
      </c>
      <c r="F4">
        <v>6</v>
      </c>
    </row>
    <row r="5" spans="1:10" x14ac:dyDescent="0.25">
      <c r="A5">
        <v>4</v>
      </c>
      <c r="B5" t="s">
        <v>52</v>
      </c>
      <c r="C5" t="s">
        <v>53</v>
      </c>
      <c r="D5" t="s">
        <v>51</v>
      </c>
      <c r="E5">
        <v>15000000</v>
      </c>
      <c r="F5">
        <v>4</v>
      </c>
    </row>
    <row r="6" spans="1:10" x14ac:dyDescent="0.25">
      <c r="A6">
        <v>5</v>
      </c>
      <c r="B6" t="s">
        <v>54</v>
      </c>
      <c r="C6" t="s">
        <v>55</v>
      </c>
      <c r="D6" t="s">
        <v>56</v>
      </c>
      <c r="E6">
        <v>40000000</v>
      </c>
      <c r="F6">
        <v>3</v>
      </c>
    </row>
    <row r="7" spans="1:10" x14ac:dyDescent="0.25">
      <c r="A7">
        <v>6</v>
      </c>
      <c r="B7" t="s">
        <v>57</v>
      </c>
      <c r="C7" t="s">
        <v>58</v>
      </c>
      <c r="D7" t="s">
        <v>59</v>
      </c>
      <c r="E7">
        <v>12500000</v>
      </c>
      <c r="F7">
        <v>2</v>
      </c>
    </row>
    <row r="8" spans="1:10" x14ac:dyDescent="0.25">
      <c r="A8">
        <v>7</v>
      </c>
      <c r="B8" t="s">
        <v>60</v>
      </c>
      <c r="C8" t="s">
        <v>61</v>
      </c>
      <c r="D8" t="s">
        <v>59</v>
      </c>
      <c r="E8">
        <v>12800000</v>
      </c>
      <c r="F8">
        <v>3</v>
      </c>
    </row>
    <row r="9" spans="1:10" x14ac:dyDescent="0.25">
      <c r="A9">
        <v>8</v>
      </c>
      <c r="B9" t="s">
        <v>62</v>
      </c>
      <c r="C9" t="s">
        <v>63</v>
      </c>
      <c r="D9" t="s">
        <v>45</v>
      </c>
      <c r="E9">
        <v>15000000</v>
      </c>
      <c r="F9">
        <v>4</v>
      </c>
    </row>
    <row r="11" spans="1:10" ht="15.75" thickBot="1" x14ac:dyDescent="0.3">
      <c r="A11" s="5" t="s">
        <v>84</v>
      </c>
    </row>
    <row r="12" spans="1:10" ht="15.75" thickBot="1" x14ac:dyDescent="0.3">
      <c r="I12" t="s">
        <v>67</v>
      </c>
      <c r="J12" s="26">
        <v>7</v>
      </c>
    </row>
    <row r="13" spans="1:10" ht="15.75" thickBot="1" x14ac:dyDescent="0.3"/>
    <row r="14" spans="1:10" ht="15.75" thickBot="1" x14ac:dyDescent="0.3">
      <c r="I14" t="s">
        <v>64</v>
      </c>
      <c r="J14" s="26" t="str">
        <f>VLOOKUP(J12,Table9[],2)</f>
        <v>nissan</v>
      </c>
    </row>
    <row r="15" spans="1:10" ht="15.75" thickBot="1" x14ac:dyDescent="0.3"/>
    <row r="16" spans="1:10" ht="15.75" thickBot="1" x14ac:dyDescent="0.3">
      <c r="I16" t="s">
        <v>65</v>
      </c>
      <c r="J16" s="26" t="str">
        <f>VLOOKUP(J12,Table9[],3)</f>
        <v>skyline</v>
      </c>
    </row>
    <row r="17" spans="1:17" ht="15.75" thickBot="1" x14ac:dyDescent="0.3"/>
    <row r="18" spans="1:17" ht="15.75" thickBot="1" x14ac:dyDescent="0.3">
      <c r="I18" t="s">
        <v>66</v>
      </c>
      <c r="J18" s="38">
        <f>VLOOKUP(J12,Table9[],5)</f>
        <v>12800000</v>
      </c>
    </row>
    <row r="19" spans="1:17" ht="15.75" thickBot="1" x14ac:dyDescent="0.3"/>
    <row r="20" spans="1:17" ht="15.75" thickBot="1" x14ac:dyDescent="0.3">
      <c r="I20" t="s">
        <v>68</v>
      </c>
      <c r="J20" s="26" t="str">
        <f>VLOOKUP(J12,Table9[],4)</f>
        <v>japan</v>
      </c>
    </row>
    <row r="23" spans="1:17" x14ac:dyDescent="0.25">
      <c r="A23" s="5" t="s">
        <v>85</v>
      </c>
      <c r="N23" t="s">
        <v>91</v>
      </c>
      <c r="O23" t="s">
        <v>91</v>
      </c>
      <c r="Q23">
        <v>2</v>
      </c>
    </row>
    <row r="25" spans="1:17" x14ac:dyDescent="0.25">
      <c r="A25" s="39" t="s">
        <v>69</v>
      </c>
      <c r="B25" s="39" t="s">
        <v>70</v>
      </c>
      <c r="C25" s="39" t="s">
        <v>71</v>
      </c>
      <c r="D25" s="39" t="s">
        <v>72</v>
      </c>
      <c r="E25" s="39" t="s">
        <v>73</v>
      </c>
      <c r="G25">
        <v>1</v>
      </c>
      <c r="H25">
        <v>2</v>
      </c>
      <c r="I25">
        <v>3</v>
      </c>
      <c r="J25">
        <v>4</v>
      </c>
      <c r="K25">
        <v>5</v>
      </c>
      <c r="L25">
        <v>6</v>
      </c>
      <c r="O25" t="s">
        <v>86</v>
      </c>
      <c r="Q25" t="str">
        <f>HLOOKUP(Q23,G25:L30,2)</f>
        <v>worker 2</v>
      </c>
    </row>
    <row r="26" spans="1:17" x14ac:dyDescent="0.25">
      <c r="A26" s="39" t="s">
        <v>74</v>
      </c>
      <c r="B26" s="40">
        <v>0.39583333333333331</v>
      </c>
      <c r="C26" s="40">
        <v>0.66666666666666663</v>
      </c>
      <c r="D26" t="s">
        <v>75</v>
      </c>
      <c r="E26">
        <v>950</v>
      </c>
      <c r="G26" s="41" t="s">
        <v>74</v>
      </c>
      <c r="H26" s="41" t="s">
        <v>76</v>
      </c>
      <c r="I26" s="41" t="s">
        <v>78</v>
      </c>
      <c r="J26" s="41" t="s">
        <v>79</v>
      </c>
      <c r="K26" s="41" t="s">
        <v>81</v>
      </c>
      <c r="L26" s="41" t="s">
        <v>83</v>
      </c>
    </row>
    <row r="27" spans="1:17" x14ac:dyDescent="0.25">
      <c r="A27" s="39" t="s">
        <v>76</v>
      </c>
      <c r="B27" s="40">
        <v>0.375</v>
      </c>
      <c r="C27" s="40">
        <v>0.58333333333333337</v>
      </c>
      <c r="D27" t="s">
        <v>77</v>
      </c>
      <c r="E27">
        <v>600</v>
      </c>
      <c r="G27" s="42">
        <v>0.39583333333333331</v>
      </c>
      <c r="H27" s="42">
        <v>0.375</v>
      </c>
      <c r="I27" s="42">
        <v>0.375</v>
      </c>
      <c r="J27" s="42">
        <v>0.375</v>
      </c>
      <c r="K27" s="42">
        <v>0.375</v>
      </c>
      <c r="L27" s="42">
        <v>0.375</v>
      </c>
      <c r="O27" t="s">
        <v>87</v>
      </c>
      <c r="Q27">
        <f>HLOOKUP(Q23,G25:L30,3)</f>
        <v>0.375</v>
      </c>
    </row>
    <row r="28" spans="1:17" x14ac:dyDescent="0.25">
      <c r="A28" s="39" t="s">
        <v>78</v>
      </c>
      <c r="B28" s="40">
        <v>0.375</v>
      </c>
      <c r="C28" s="40">
        <v>0.66666666666666663</v>
      </c>
      <c r="D28" t="s">
        <v>75</v>
      </c>
      <c r="E28">
        <v>1000</v>
      </c>
      <c r="G28" s="42">
        <v>0.66666666666666663</v>
      </c>
      <c r="H28" s="45">
        <v>0.58333333333333337</v>
      </c>
      <c r="I28" s="42">
        <v>0.66666666666666663</v>
      </c>
      <c r="J28" s="45">
        <v>0.52083333333333337</v>
      </c>
      <c r="K28" s="42">
        <v>0.75</v>
      </c>
      <c r="L28" s="45">
        <v>0.66666666666666663</v>
      </c>
    </row>
    <row r="29" spans="1:17" x14ac:dyDescent="0.25">
      <c r="A29" s="39" t="s">
        <v>79</v>
      </c>
      <c r="B29" s="40">
        <v>0.375</v>
      </c>
      <c r="C29" s="40">
        <v>0.52083333333333337</v>
      </c>
      <c r="D29" t="s">
        <v>80</v>
      </c>
      <c r="E29">
        <v>500</v>
      </c>
      <c r="G29" s="43" t="s">
        <v>75</v>
      </c>
      <c r="H29" s="46" t="s">
        <v>77</v>
      </c>
      <c r="I29" s="43" t="s">
        <v>75</v>
      </c>
      <c r="J29" s="46" t="s">
        <v>80</v>
      </c>
      <c r="K29" s="43" t="s">
        <v>82</v>
      </c>
      <c r="L29" s="43" t="s">
        <v>75</v>
      </c>
      <c r="O29" t="s">
        <v>88</v>
      </c>
      <c r="Q29" s="48">
        <f>HLOOKUP(Q23,G25:L30,4)</f>
        <v>0.58333333333333337</v>
      </c>
    </row>
    <row r="30" spans="1:17" x14ac:dyDescent="0.25">
      <c r="A30" s="39" t="s">
        <v>81</v>
      </c>
      <c r="B30" s="40">
        <v>0.375</v>
      </c>
      <c r="C30" s="40">
        <v>0.75</v>
      </c>
      <c r="D30" t="s">
        <v>82</v>
      </c>
      <c r="E30">
        <v>1300</v>
      </c>
      <c r="G30" s="44">
        <v>950</v>
      </c>
      <c r="H30" s="47">
        <v>600</v>
      </c>
      <c r="I30" s="44">
        <v>1000</v>
      </c>
      <c r="J30" s="47">
        <v>500</v>
      </c>
      <c r="K30" s="44">
        <v>1300</v>
      </c>
      <c r="L30" s="44">
        <v>1000</v>
      </c>
    </row>
    <row r="31" spans="1:17" x14ac:dyDescent="0.25">
      <c r="A31" s="39" t="s">
        <v>83</v>
      </c>
      <c r="B31" s="40">
        <v>0.375</v>
      </c>
      <c r="C31" s="40">
        <v>0.66666666666666663</v>
      </c>
      <c r="D31" t="s">
        <v>75</v>
      </c>
      <c r="E31">
        <v>1000</v>
      </c>
      <c r="O31" t="s">
        <v>89</v>
      </c>
      <c r="Q31" t="str">
        <f>HLOOKUP(Q23,G25:L30,5)</f>
        <v>coz of his health issue</v>
      </c>
    </row>
    <row r="33" spans="3:19" x14ac:dyDescent="0.25">
      <c r="O33" t="s">
        <v>90</v>
      </c>
      <c r="Q33">
        <f>HLOOKUP(Q23,G25:L30,6)</f>
        <v>600</v>
      </c>
    </row>
    <row r="45" spans="3:19" x14ac:dyDescent="0.25">
      <c r="C45" s="51" t="s">
        <v>37</v>
      </c>
      <c r="D45" s="51" t="s">
        <v>38</v>
      </c>
      <c r="E45" s="51" t="s">
        <v>39</v>
      </c>
      <c r="F45" s="51" t="s">
        <v>40</v>
      </c>
      <c r="G45" s="51" t="s">
        <v>41</v>
      </c>
      <c r="H45" s="51" t="s">
        <v>42</v>
      </c>
      <c r="J45" s="52" t="s">
        <v>91</v>
      </c>
      <c r="K45">
        <v>2</v>
      </c>
      <c r="N45" s="51" t="s">
        <v>37</v>
      </c>
      <c r="O45" s="51" t="s">
        <v>38</v>
      </c>
      <c r="P45" s="51" t="s">
        <v>39</v>
      </c>
      <c r="Q45" s="51" t="s">
        <v>40</v>
      </c>
      <c r="R45" s="51" t="s">
        <v>41</v>
      </c>
      <c r="S45" s="51" t="s">
        <v>42</v>
      </c>
    </row>
    <row r="46" spans="3:19" x14ac:dyDescent="0.25">
      <c r="C46" s="50">
        <v>1</v>
      </c>
      <c r="D46" s="50" t="s">
        <v>43</v>
      </c>
      <c r="E46" s="50" t="s">
        <v>44</v>
      </c>
      <c r="F46" s="50" t="s">
        <v>45</v>
      </c>
      <c r="G46" s="50">
        <v>7000000</v>
      </c>
      <c r="H46" s="50">
        <v>2</v>
      </c>
      <c r="N46" s="50">
        <v>1</v>
      </c>
      <c r="O46" s="50" t="s">
        <v>43</v>
      </c>
      <c r="P46" s="50" t="s">
        <v>44</v>
      </c>
      <c r="Q46" s="50" t="s">
        <v>45</v>
      </c>
      <c r="R46" s="50">
        <v>7000000</v>
      </c>
      <c r="S46" s="50">
        <v>2</v>
      </c>
    </row>
    <row r="47" spans="3:19" x14ac:dyDescent="0.25">
      <c r="C47" s="49">
        <v>2</v>
      </c>
      <c r="D47" s="49" t="s">
        <v>46</v>
      </c>
      <c r="E47" s="49" t="s">
        <v>47</v>
      </c>
      <c r="F47" s="49" t="s">
        <v>48</v>
      </c>
      <c r="G47" s="49">
        <v>20000000</v>
      </c>
      <c r="H47" s="49">
        <v>3</v>
      </c>
      <c r="J47" t="s">
        <v>102</v>
      </c>
      <c r="K47" t="e">
        <f>HLOOKUP(K45,C45:H50,2)</f>
        <v>#N/A</v>
      </c>
      <c r="N47" s="49">
        <v>2</v>
      </c>
      <c r="O47" s="49" t="s">
        <v>46</v>
      </c>
      <c r="P47" s="49" t="s">
        <v>47</v>
      </c>
      <c r="Q47" s="49" t="s">
        <v>48</v>
      </c>
      <c r="R47" s="49">
        <v>20000000</v>
      </c>
      <c r="S47" s="49">
        <v>3</v>
      </c>
    </row>
    <row r="48" spans="3:19" x14ac:dyDescent="0.25">
      <c r="C48" s="50">
        <v>3</v>
      </c>
      <c r="D48" s="50" t="s">
        <v>49</v>
      </c>
      <c r="E48" s="50" t="s">
        <v>50</v>
      </c>
      <c r="F48" s="50" t="s">
        <v>51</v>
      </c>
      <c r="G48" s="50">
        <v>10000000</v>
      </c>
      <c r="H48" s="50">
        <v>6</v>
      </c>
      <c r="N48" s="50">
        <v>3</v>
      </c>
      <c r="O48" s="50" t="s">
        <v>49</v>
      </c>
      <c r="P48" s="50" t="s">
        <v>50</v>
      </c>
      <c r="Q48" s="50" t="s">
        <v>51</v>
      </c>
      <c r="R48" s="50">
        <v>10000000</v>
      </c>
      <c r="S48" s="50">
        <v>6</v>
      </c>
    </row>
    <row r="49" spans="3:19" x14ac:dyDescent="0.25">
      <c r="C49" s="49">
        <v>4</v>
      </c>
      <c r="D49" s="49" t="s">
        <v>52</v>
      </c>
      <c r="E49" s="49" t="s">
        <v>53</v>
      </c>
      <c r="F49" s="49" t="s">
        <v>51</v>
      </c>
      <c r="G49" s="49">
        <v>15000000</v>
      </c>
      <c r="H49" s="49">
        <v>4</v>
      </c>
      <c r="J49" t="s">
        <v>103</v>
      </c>
      <c r="K49" t="e">
        <f>HLOOKUP(K45,C45:H50,3)</f>
        <v>#N/A</v>
      </c>
      <c r="N49" s="49">
        <v>4</v>
      </c>
      <c r="O49" s="49" t="s">
        <v>52</v>
      </c>
      <c r="P49" s="49" t="s">
        <v>53</v>
      </c>
      <c r="Q49" s="49" t="s">
        <v>51</v>
      </c>
      <c r="R49" s="49">
        <v>15000000</v>
      </c>
      <c r="S49" s="49">
        <v>4</v>
      </c>
    </row>
    <row r="50" spans="3:19" x14ac:dyDescent="0.25">
      <c r="C50" s="50">
        <v>5</v>
      </c>
      <c r="D50" s="50" t="s">
        <v>54</v>
      </c>
      <c r="E50" s="50" t="s">
        <v>55</v>
      </c>
      <c r="F50" s="50" t="s">
        <v>56</v>
      </c>
      <c r="G50" s="50">
        <v>40000000</v>
      </c>
      <c r="H50" s="50">
        <v>3</v>
      </c>
      <c r="N50" s="50">
        <v>5</v>
      </c>
      <c r="O50" s="50" t="s">
        <v>54</v>
      </c>
      <c r="P50" s="50" t="s">
        <v>55</v>
      </c>
      <c r="Q50" s="50" t="s">
        <v>56</v>
      </c>
      <c r="R50" s="50">
        <v>40000000</v>
      </c>
      <c r="S50" s="50">
        <v>3</v>
      </c>
    </row>
    <row r="51" spans="3:19" x14ac:dyDescent="0.25">
      <c r="J51" t="s">
        <v>104</v>
      </c>
      <c r="K51" t="e">
        <f>HLOOKUP(K45,C45:H50,5)</f>
        <v>#N/A</v>
      </c>
    </row>
    <row r="55" spans="3:19" x14ac:dyDescent="0.25">
      <c r="C55" s="51" t="s">
        <v>37</v>
      </c>
      <c r="D55" s="51" t="s">
        <v>38</v>
      </c>
      <c r="E55" s="51" t="s">
        <v>39</v>
      </c>
      <c r="F55" s="51" t="s">
        <v>40</v>
      </c>
      <c r="G55" s="51" t="s">
        <v>41</v>
      </c>
      <c r="H55" s="51" t="s">
        <v>42</v>
      </c>
    </row>
    <row r="56" spans="3:19" x14ac:dyDescent="0.25">
      <c r="C56" s="50">
        <v>1</v>
      </c>
      <c r="D56" s="50" t="s">
        <v>43</v>
      </c>
      <c r="E56" s="50" t="s">
        <v>44</v>
      </c>
      <c r="F56" s="50" t="s">
        <v>45</v>
      </c>
      <c r="G56" s="50">
        <v>7000000</v>
      </c>
      <c r="H56" s="50">
        <v>2</v>
      </c>
    </row>
    <row r="57" spans="3:19" x14ac:dyDescent="0.25">
      <c r="C57" s="49">
        <v>2</v>
      </c>
      <c r="D57" s="49" t="s">
        <v>46</v>
      </c>
      <c r="E57" s="49" t="s">
        <v>47</v>
      </c>
      <c r="F57" s="49" t="s">
        <v>48</v>
      </c>
      <c r="G57" s="49">
        <v>20000000</v>
      </c>
      <c r="H57" s="49">
        <v>3</v>
      </c>
    </row>
    <row r="58" spans="3:19" x14ac:dyDescent="0.25">
      <c r="C58" s="50">
        <v>3</v>
      </c>
      <c r="D58" s="50" t="s">
        <v>49</v>
      </c>
      <c r="E58" s="50" t="s">
        <v>50</v>
      </c>
      <c r="F58" s="50" t="s">
        <v>51</v>
      </c>
      <c r="G58" s="50">
        <v>10000000</v>
      </c>
      <c r="H58" s="50">
        <v>6</v>
      </c>
      <c r="O58">
        <f>F68</f>
        <v>15920</v>
      </c>
      <c r="R58">
        <f>F68</f>
        <v>15920</v>
      </c>
    </row>
    <row r="59" spans="3:19" x14ac:dyDescent="0.25">
      <c r="C59" s="49">
        <v>4</v>
      </c>
      <c r="D59" s="49" t="s">
        <v>52</v>
      </c>
      <c r="E59" s="49" t="s">
        <v>53</v>
      </c>
      <c r="F59" s="49" t="s">
        <v>51</v>
      </c>
      <c r="G59" s="49">
        <v>15000000</v>
      </c>
      <c r="H59" s="49">
        <v>4</v>
      </c>
      <c r="N59">
        <v>80</v>
      </c>
      <c r="O59">
        <f t="dataTable" ref="O59:O62" dt2D="0" dtr="0" r1="F67" ca="1"/>
        <v>15920</v>
      </c>
      <c r="Q59">
        <v>20</v>
      </c>
      <c r="R59">
        <f t="dataTable" ref="R59:R62" dt2D="0" dtr="0" r1="F67"/>
        <v>3980</v>
      </c>
    </row>
    <row r="60" spans="3:19" x14ac:dyDescent="0.25">
      <c r="C60" s="50">
        <v>5</v>
      </c>
      <c r="D60" s="50" t="s">
        <v>54</v>
      </c>
      <c r="E60" s="50" t="s">
        <v>55</v>
      </c>
      <c r="F60" s="50" t="s">
        <v>56</v>
      </c>
      <c r="G60" s="50">
        <v>40000000</v>
      </c>
      <c r="H60" s="50">
        <v>3</v>
      </c>
      <c r="N60">
        <v>90</v>
      </c>
      <c r="O60">
        <v>17910</v>
      </c>
      <c r="Q60">
        <v>45</v>
      </c>
      <c r="R60">
        <v>8955</v>
      </c>
    </row>
    <row r="61" spans="3:19" x14ac:dyDescent="0.25">
      <c r="N61">
        <v>60</v>
      </c>
      <c r="O61">
        <v>11940</v>
      </c>
      <c r="Q61">
        <v>69</v>
      </c>
      <c r="R61">
        <v>13731</v>
      </c>
    </row>
    <row r="62" spans="3:19" x14ac:dyDescent="0.25">
      <c r="N62">
        <v>70</v>
      </c>
      <c r="O62">
        <v>13930</v>
      </c>
      <c r="Q62">
        <v>34</v>
      </c>
      <c r="R62">
        <v>6766</v>
      </c>
    </row>
    <row r="66" spans="5:12" x14ac:dyDescent="0.25">
      <c r="E66" t="s">
        <v>93</v>
      </c>
      <c r="F66">
        <v>199</v>
      </c>
    </row>
    <row r="67" spans="5:12" x14ac:dyDescent="0.25">
      <c r="E67" t="s">
        <v>105</v>
      </c>
      <c r="F67">
        <v>80</v>
      </c>
    </row>
    <row r="68" spans="5:12" x14ac:dyDescent="0.25">
      <c r="F68">
        <f>F66*F67</f>
        <v>15920</v>
      </c>
      <c r="H68">
        <f>F68</f>
        <v>15920</v>
      </c>
      <c r="I68">
        <v>199</v>
      </c>
      <c r="J68">
        <v>201</v>
      </c>
      <c r="K68">
        <v>175</v>
      </c>
      <c r="L68">
        <v>150</v>
      </c>
    </row>
    <row r="69" spans="5:12" x14ac:dyDescent="0.25">
      <c r="H69">
        <v>80</v>
      </c>
      <c r="I69">
        <f t="dataTable" ref="I69:L72" dt2D="1" dtr="1" r1="F66" r2="F67" ca="1"/>
        <v>15920</v>
      </c>
      <c r="J69">
        <v>16080</v>
      </c>
      <c r="K69">
        <v>14000</v>
      </c>
      <c r="L69">
        <v>12000</v>
      </c>
    </row>
    <row r="70" spans="5:12" x14ac:dyDescent="0.25">
      <c r="H70">
        <v>90</v>
      </c>
      <c r="I70">
        <v>17910</v>
      </c>
      <c r="J70">
        <v>18090</v>
      </c>
      <c r="K70">
        <v>15750</v>
      </c>
      <c r="L70">
        <v>13500</v>
      </c>
    </row>
    <row r="71" spans="5:12" x14ac:dyDescent="0.25">
      <c r="H71">
        <v>60</v>
      </c>
      <c r="I71">
        <v>11940</v>
      </c>
      <c r="J71">
        <v>12060</v>
      </c>
      <c r="K71">
        <v>10500</v>
      </c>
      <c r="L71">
        <v>9000</v>
      </c>
    </row>
    <row r="72" spans="5:12" x14ac:dyDescent="0.25">
      <c r="H72">
        <v>70</v>
      </c>
      <c r="I72">
        <v>13930</v>
      </c>
      <c r="J72">
        <v>14070</v>
      </c>
      <c r="K72">
        <v>12250</v>
      </c>
      <c r="L72">
        <v>10500</v>
      </c>
    </row>
  </sheetData>
  <conditionalFormatting sqref="A2:F9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{E6BE7941-F4EA-450D-B80C-AE83360C9712}</x14:id>
        </ext>
      </extLst>
    </cfRule>
  </conditionalFormatting>
  <conditionalFormatting sqref="B26:B31">
    <cfRule type="cellIs" dxfId="114" priority="93" operator="greaterThan">
      <formula>0.375</formula>
    </cfRule>
    <cfRule type="cellIs" dxfId="113" priority="94" operator="greaterThan">
      <formula>0.375</formula>
    </cfRule>
  </conditionalFormatting>
  <conditionalFormatting sqref="C26:C31">
    <cfRule type="cellIs" dxfId="112" priority="89" operator="greaterThan">
      <formula>0.635416666666667</formula>
    </cfRule>
    <cfRule type="cellIs" dxfId="111" priority="90" operator="lessThan">
      <formula>0.666666666666667</formula>
    </cfRule>
    <cfRule type="cellIs" dxfId="110" priority="91" operator="greaterThan">
      <formula>0.666666666666667</formula>
    </cfRule>
    <cfRule type="cellIs" dxfId="109" priority="92" operator="lessThan">
      <formula>0.166666666666667</formula>
    </cfRule>
  </conditionalFormatting>
  <conditionalFormatting sqref="D26:D31">
    <cfRule type="duplicateValues" dxfId="108" priority="83"/>
    <cfRule type="duplicateValues" dxfId="107" priority="88"/>
  </conditionalFormatting>
  <conditionalFormatting sqref="D27">
    <cfRule type="containsText" dxfId="106" priority="87" operator="containsText" text="coz of his health issue">
      <formula>NOT(ISERROR(SEARCH("coz of his health issue",D27)))</formula>
    </cfRule>
  </conditionalFormatting>
  <conditionalFormatting sqref="D29">
    <cfRule type="containsText" dxfId="105" priority="86" operator="containsText" text="halfday">
      <formula>NOT(ISERROR(SEARCH("halfday",D29)))</formula>
    </cfRule>
  </conditionalFormatting>
  <conditionalFormatting sqref="D30">
    <cfRule type="containsText" dxfId="104" priority="84" operator="containsText" text="extra tym">
      <formula>NOT(ISERROR(SEARCH("extra tym",D30)))</formula>
    </cfRule>
    <cfRule type="containsText" dxfId="103" priority="85" operator="containsText" text="extra tym">
      <formula>NOT(ISERROR(SEARCH("extra tym",D30)))</formula>
    </cfRule>
  </conditionalFormatting>
  <conditionalFormatting sqref="E26:E31">
    <cfRule type="cellIs" dxfId="102" priority="79" operator="greaterThan">
      <formula>900</formula>
    </cfRule>
    <cfRule type="cellIs" dxfId="101" priority="81" operator="greaterThan">
      <formula>1000</formula>
    </cfRule>
    <cfRule type="cellIs" dxfId="100" priority="82" operator="lessThan">
      <formula>1000</formula>
    </cfRule>
  </conditionalFormatting>
  <conditionalFormatting sqref="E26">
    <cfRule type="cellIs" dxfId="99" priority="80" operator="greaterThan">
      <formula>900</formula>
    </cfRule>
  </conditionalFormatting>
  <conditionalFormatting sqref="E30">
    <cfRule type="containsText" dxfId="98" priority="78" operator="containsText" text="1300">
      <formula>NOT(ISERROR(SEARCH("1300",E30)))</formula>
    </cfRule>
  </conditionalFormatting>
  <conditionalFormatting sqref="C30">
    <cfRule type="cellIs" dxfId="97" priority="77" operator="equal">
      <formula>0.75</formula>
    </cfRule>
  </conditionalFormatting>
  <conditionalFormatting sqref="G27:H27">
    <cfRule type="cellIs" dxfId="96" priority="74" operator="greaterThan">
      <formula>0.375</formula>
    </cfRule>
    <cfRule type="cellIs" dxfId="95" priority="75" operator="greaterThan">
      <formula>0.375</formula>
    </cfRule>
  </conditionalFormatting>
  <conditionalFormatting sqref="G28">
    <cfRule type="cellIs" dxfId="94" priority="69" operator="greaterThan">
      <formula>0.635416666666667</formula>
    </cfRule>
    <cfRule type="cellIs" dxfId="93" priority="70" operator="lessThan">
      <formula>0.666666666666667</formula>
    </cfRule>
    <cfRule type="cellIs" dxfId="92" priority="71" operator="greaterThan">
      <formula>0.666666666666667</formula>
    </cfRule>
    <cfRule type="cellIs" dxfId="91" priority="72" operator="lessThan">
      <formula>0.166666666666667</formula>
    </cfRule>
  </conditionalFormatting>
  <conditionalFormatting sqref="H28">
    <cfRule type="cellIs" dxfId="90" priority="65" operator="greaterThan">
      <formula>0.635416666666667</formula>
    </cfRule>
    <cfRule type="cellIs" dxfId="89" priority="66" operator="lessThan">
      <formula>0.666666666666667</formula>
    </cfRule>
    <cfRule type="cellIs" dxfId="88" priority="67" operator="greaterThan">
      <formula>0.666666666666667</formula>
    </cfRule>
    <cfRule type="cellIs" dxfId="87" priority="68" operator="lessThan">
      <formula>0.166666666666667</formula>
    </cfRule>
  </conditionalFormatting>
  <conditionalFormatting sqref="I28">
    <cfRule type="cellIs" dxfId="86" priority="61" operator="greaterThan">
      <formula>0.635416666666667</formula>
    </cfRule>
    <cfRule type="cellIs" dxfId="85" priority="62" operator="lessThan">
      <formula>0.666666666666667</formula>
    </cfRule>
    <cfRule type="cellIs" dxfId="84" priority="63" operator="greaterThan">
      <formula>0.666666666666667</formula>
    </cfRule>
    <cfRule type="cellIs" dxfId="83" priority="64" operator="lessThan">
      <formula>0.166666666666667</formula>
    </cfRule>
  </conditionalFormatting>
  <conditionalFormatting sqref="J28">
    <cfRule type="cellIs" dxfId="82" priority="57" operator="greaterThan">
      <formula>0.635416666666667</formula>
    </cfRule>
    <cfRule type="cellIs" dxfId="81" priority="58" operator="lessThan">
      <formula>0.666666666666667</formula>
    </cfRule>
    <cfRule type="cellIs" dxfId="80" priority="59" operator="greaterThan">
      <formula>0.666666666666667</formula>
    </cfRule>
    <cfRule type="cellIs" dxfId="79" priority="60" operator="lessThan">
      <formula>0.166666666666667</formula>
    </cfRule>
  </conditionalFormatting>
  <conditionalFormatting sqref="K28">
    <cfRule type="cellIs" dxfId="78" priority="53" operator="greaterThan">
      <formula>0.635416666666667</formula>
    </cfRule>
    <cfRule type="cellIs" dxfId="77" priority="54" operator="lessThan">
      <formula>0.666666666666667</formula>
    </cfRule>
    <cfRule type="cellIs" dxfId="76" priority="55" operator="greaterThan">
      <formula>0.666666666666667</formula>
    </cfRule>
    <cfRule type="cellIs" dxfId="75" priority="56" operator="lessThan">
      <formula>0.166666666666667</formula>
    </cfRule>
  </conditionalFormatting>
  <conditionalFormatting sqref="K28">
    <cfRule type="cellIs" dxfId="74" priority="52" operator="equal">
      <formula>0.75</formula>
    </cfRule>
  </conditionalFormatting>
  <conditionalFormatting sqref="L28">
    <cfRule type="cellIs" dxfId="73" priority="48" operator="greaterThan">
      <formula>0.635416666666667</formula>
    </cfRule>
    <cfRule type="cellIs" dxfId="72" priority="49" operator="lessThan">
      <formula>0.666666666666667</formula>
    </cfRule>
    <cfRule type="cellIs" dxfId="71" priority="50" operator="greaterThan">
      <formula>0.666666666666667</formula>
    </cfRule>
    <cfRule type="cellIs" dxfId="70" priority="51" operator="lessThan">
      <formula>0.166666666666667</formula>
    </cfRule>
  </conditionalFormatting>
  <conditionalFormatting sqref="I27">
    <cfRule type="cellIs" dxfId="69" priority="46" operator="greaterThan">
      <formula>0.375</formula>
    </cfRule>
    <cfRule type="cellIs" dxfId="68" priority="47" operator="greaterThan">
      <formula>0.375</formula>
    </cfRule>
  </conditionalFormatting>
  <conditionalFormatting sqref="J27">
    <cfRule type="cellIs" dxfId="67" priority="44" operator="greaterThan">
      <formula>0.375</formula>
    </cfRule>
    <cfRule type="cellIs" dxfId="66" priority="45" operator="greaterThan">
      <formula>0.375</formula>
    </cfRule>
  </conditionalFormatting>
  <conditionalFormatting sqref="K27">
    <cfRule type="cellIs" dxfId="65" priority="42" operator="greaterThan">
      <formula>0.375</formula>
    </cfRule>
    <cfRule type="cellIs" dxfId="64" priority="43" operator="greaterThan">
      <formula>0.375</formula>
    </cfRule>
  </conditionalFormatting>
  <conditionalFormatting sqref="L27">
    <cfRule type="cellIs" dxfId="63" priority="40" operator="greaterThan">
      <formula>0.375</formula>
    </cfRule>
    <cfRule type="cellIs" dxfId="62" priority="41" operator="greaterThan">
      <formula>0.375</formula>
    </cfRule>
  </conditionalFormatting>
  <conditionalFormatting sqref="G29">
    <cfRule type="duplicateValues" dxfId="61" priority="38"/>
    <cfRule type="duplicateValues" dxfId="60" priority="39"/>
  </conditionalFormatting>
  <conditionalFormatting sqref="I29">
    <cfRule type="duplicateValues" dxfId="59" priority="36"/>
    <cfRule type="duplicateValues" dxfId="58" priority="37"/>
  </conditionalFormatting>
  <conditionalFormatting sqref="L29">
    <cfRule type="duplicateValues" dxfId="57" priority="34"/>
    <cfRule type="duplicateValues" dxfId="56" priority="35"/>
  </conditionalFormatting>
  <conditionalFormatting sqref="H29">
    <cfRule type="duplicateValues" dxfId="55" priority="31"/>
    <cfRule type="duplicateValues" dxfId="54" priority="33"/>
  </conditionalFormatting>
  <conditionalFormatting sqref="H29">
    <cfRule type="containsText" dxfId="53" priority="32" operator="containsText" text="coz of his health issue">
      <formula>NOT(ISERROR(SEARCH("coz of his health issue",H29)))</formula>
    </cfRule>
  </conditionalFormatting>
  <conditionalFormatting sqref="J29">
    <cfRule type="duplicateValues" dxfId="52" priority="28"/>
    <cfRule type="duplicateValues" dxfId="51" priority="30"/>
  </conditionalFormatting>
  <conditionalFormatting sqref="J29">
    <cfRule type="containsText" dxfId="50" priority="29" operator="containsText" text="halfday">
      <formula>NOT(ISERROR(SEARCH("halfday",J29)))</formula>
    </cfRule>
  </conditionalFormatting>
  <conditionalFormatting sqref="K29">
    <cfRule type="duplicateValues" dxfId="49" priority="24"/>
    <cfRule type="duplicateValues" dxfId="48" priority="27"/>
  </conditionalFormatting>
  <conditionalFormatting sqref="K29">
    <cfRule type="containsText" dxfId="47" priority="25" operator="containsText" text="extra tym">
      <formula>NOT(ISERROR(SEARCH("extra tym",K29)))</formula>
    </cfRule>
    <cfRule type="containsText" dxfId="46" priority="26" operator="containsText" text="extra tym">
      <formula>NOT(ISERROR(SEARCH("extra tym",K29)))</formula>
    </cfRule>
  </conditionalFormatting>
  <conditionalFormatting sqref="G30">
    <cfRule type="cellIs" dxfId="45" priority="20" operator="greaterThan">
      <formula>900</formula>
    </cfRule>
    <cfRule type="cellIs" dxfId="44" priority="22" operator="greaterThan">
      <formula>1000</formula>
    </cfRule>
    <cfRule type="cellIs" dxfId="43" priority="23" operator="lessThan">
      <formula>1000</formula>
    </cfRule>
  </conditionalFormatting>
  <conditionalFormatting sqref="G30">
    <cfRule type="cellIs" dxfId="42" priority="21" operator="greaterThan">
      <formula>900</formula>
    </cfRule>
  </conditionalFormatting>
  <conditionalFormatting sqref="I30">
    <cfRule type="cellIs" dxfId="41" priority="17" operator="greaterThan">
      <formula>900</formula>
    </cfRule>
    <cfRule type="cellIs" dxfId="40" priority="18" operator="greaterThan">
      <formula>1000</formula>
    </cfRule>
    <cfRule type="cellIs" dxfId="39" priority="19" operator="lessThan">
      <formula>1000</formula>
    </cfRule>
  </conditionalFormatting>
  <conditionalFormatting sqref="L30">
    <cfRule type="cellIs" dxfId="38" priority="14" operator="greaterThan">
      <formula>900</formula>
    </cfRule>
    <cfRule type="cellIs" dxfId="37" priority="15" operator="greaterThan">
      <formula>1000</formula>
    </cfRule>
    <cfRule type="cellIs" dxfId="36" priority="16" operator="lessThan">
      <formula>1000</formula>
    </cfRule>
  </conditionalFormatting>
  <conditionalFormatting sqref="K30">
    <cfRule type="cellIs" dxfId="35" priority="11" operator="greaterThan">
      <formula>900</formula>
    </cfRule>
    <cfRule type="cellIs" dxfId="34" priority="12" operator="greaterThan">
      <formula>1000</formula>
    </cfRule>
    <cfRule type="cellIs" dxfId="33" priority="13" operator="lessThan">
      <formula>1000</formula>
    </cfRule>
  </conditionalFormatting>
  <conditionalFormatting sqref="K30">
    <cfRule type="containsText" dxfId="32" priority="10" operator="containsText" text="1300">
      <formula>NOT(ISERROR(SEARCH("1300",K30)))</formula>
    </cfRule>
  </conditionalFormatting>
  <conditionalFormatting sqref="J30">
    <cfRule type="cellIs" dxfId="31" priority="7" operator="greaterThan">
      <formula>900</formula>
    </cfRule>
    <cfRule type="cellIs" dxfId="30" priority="8" operator="greaterThan">
      <formula>1000</formula>
    </cfRule>
    <cfRule type="cellIs" dxfId="29" priority="9" operator="lessThan">
      <formula>1000</formula>
    </cfRule>
  </conditionalFormatting>
  <conditionalFormatting sqref="H30">
    <cfRule type="cellIs" dxfId="28" priority="4" operator="greaterThan">
      <formula>900</formula>
    </cfRule>
    <cfRule type="cellIs" dxfId="27" priority="5" operator="greaterThan">
      <formula>1000</formula>
    </cfRule>
    <cfRule type="cellIs" dxfId="26" priority="6" operator="lessThan">
      <formula>1000</formula>
    </cfRule>
  </conditionalFormatting>
  <conditionalFormatting sqref="C46:H5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{9E57DB97-35F0-4B0B-9BAE-EA1F9848B66C}</x14:id>
        </ext>
      </extLst>
    </cfRule>
  </conditionalFormatting>
  <conditionalFormatting sqref="C56:H6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{D430F655-09E7-4CF7-AFE8-D549DAE41956}</x14:id>
        </ext>
      </extLst>
    </cfRule>
  </conditionalFormatting>
  <conditionalFormatting sqref="N46:S5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{A9C1F7EB-9F14-4C89-B8E3-771B7F468866}</x14:id>
        </ext>
      </extLst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BE7941-F4EA-450D-B80C-AE83360C97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A2:F9</xm:sqref>
        </x14:conditionalFormatting>
        <x14:conditionalFormatting xmlns:xm="http://schemas.microsoft.com/office/excel/2006/main">
          <x14:cfRule type="containsText" priority="76" operator="containsText" id="{BF641A76-34AE-4534-BF6C-0EC89F869E8D}">
            <xm:f>NOT(ISERROR(SEARCH($I$11,B26)))</xm:f>
            <xm:f>$I$11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containsText" priority="73" operator="containsText" id="{23CCE4C1-0A42-4ACB-BBC4-96A3E2E02A0B}">
            <xm:f>NOT(ISERROR(SEARCH($I$11,G27)))</xm:f>
            <xm:f>$I$11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G27:H27</xm:sqref>
        </x14:conditionalFormatting>
        <x14:conditionalFormatting xmlns:xm="http://schemas.microsoft.com/office/excel/2006/main">
          <x14:cfRule type="dataBar" id="{9E57DB97-35F0-4B0B-9BAE-EA1F9848B6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C46:H50</xm:sqref>
        </x14:conditionalFormatting>
        <x14:conditionalFormatting xmlns:xm="http://schemas.microsoft.com/office/excel/2006/main">
          <x14:cfRule type="dataBar" id="{D430F655-09E7-4CF7-AFE8-D549DAE419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C56:H60</xm:sqref>
        </x14:conditionalFormatting>
        <x14:conditionalFormatting xmlns:xm="http://schemas.microsoft.com/office/excel/2006/main">
          <x14:cfRule type="dataBar" id="{A9C1F7EB-9F14-4C89-B8E3-771B7F468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N46:S50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10" sqref="B10"/>
    </sheetView>
  </sheetViews>
  <sheetFormatPr defaultRowHeight="15" x14ac:dyDescent="0.25"/>
  <sheetData>
    <row r="1" spans="1:4" x14ac:dyDescent="0.25">
      <c r="A1" s="39" t="s">
        <v>92</v>
      </c>
      <c r="B1" s="39" t="s">
        <v>93</v>
      </c>
      <c r="C1" s="39" t="s">
        <v>94</v>
      </c>
      <c r="D1" s="39" t="s">
        <v>95</v>
      </c>
    </row>
    <row r="2" spans="1:4" x14ac:dyDescent="0.25">
      <c r="A2">
        <v>1</v>
      </c>
      <c r="B2" t="s">
        <v>96</v>
      </c>
      <c r="C2">
        <v>1234</v>
      </c>
      <c r="D2">
        <v>3500</v>
      </c>
    </row>
    <row r="3" spans="1:4" x14ac:dyDescent="0.25">
      <c r="A3">
        <v>2</v>
      </c>
      <c r="B3" t="s">
        <v>97</v>
      </c>
      <c r="C3">
        <v>3456</v>
      </c>
      <c r="D3">
        <v>1999</v>
      </c>
    </row>
    <row r="4" spans="1:4" x14ac:dyDescent="0.25">
      <c r="A4">
        <v>3</v>
      </c>
      <c r="B4" t="s">
        <v>98</v>
      </c>
      <c r="C4">
        <v>4567</v>
      </c>
      <c r="D4">
        <v>3999</v>
      </c>
    </row>
    <row r="5" spans="1:4" x14ac:dyDescent="0.25">
      <c r="A5">
        <v>4</v>
      </c>
      <c r="B5" t="s">
        <v>99</v>
      </c>
      <c r="C5">
        <v>5678</v>
      </c>
      <c r="D5">
        <v>4999</v>
      </c>
    </row>
    <row r="6" spans="1:4" x14ac:dyDescent="0.25">
      <c r="A6">
        <v>5</v>
      </c>
      <c r="B6" t="s">
        <v>100</v>
      </c>
      <c r="C6">
        <v>987</v>
      </c>
      <c r="D6">
        <v>5999</v>
      </c>
    </row>
    <row r="7" spans="1:4" x14ac:dyDescent="0.25">
      <c r="A7">
        <v>6</v>
      </c>
      <c r="B7" t="s">
        <v>101</v>
      </c>
      <c r="C7">
        <v>2345</v>
      </c>
      <c r="D7">
        <v>999</v>
      </c>
    </row>
  </sheetData>
  <conditionalFormatting sqref="A2:D5">
    <cfRule type="iconSet" priority="18">
      <iconSet iconSet="3Arrows">
        <cfvo type="percent" val="0"/>
        <cfvo type="percent" val="33"/>
        <cfvo type="percent" val="67"/>
      </iconSe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{7991B513-8842-4272-9483-00F3D23C7926}</x14:id>
        </ext>
      </extLst>
    </cfRule>
  </conditionalFormatting>
  <conditionalFormatting sqref="A6">
    <cfRule type="iconSet" priority="16">
      <iconSet iconSet="3Arrows">
        <cfvo type="percent" val="0"/>
        <cfvo type="percent" val="33"/>
        <cfvo type="percent" val="67"/>
      </iconSet>
    </cfRule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{12052E02-1AF5-457D-A146-5B67D9487831}</x14:id>
        </ext>
      </extLst>
    </cfRule>
  </conditionalFormatting>
  <conditionalFormatting sqref="B6">
    <cfRule type="iconSet" priority="14">
      <iconSet iconSet="3Arrows">
        <cfvo type="percent" val="0"/>
        <cfvo type="percent" val="33"/>
        <cfvo type="percent" val="67"/>
      </iconSe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{DF04B2F5-3F40-4DDA-A57A-A37AF8082E60}</x14:id>
        </ext>
      </extLst>
    </cfRule>
  </conditionalFormatting>
  <conditionalFormatting sqref="C6">
    <cfRule type="iconSet" priority="12">
      <iconSet iconSet="3Arrows">
        <cfvo type="percent" val="0"/>
        <cfvo type="percent" val="33"/>
        <cfvo type="percent" val="67"/>
      </iconSe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{DAA842A6-5500-4913-829B-BF8603833E5B}</x14:id>
        </ext>
      </extLst>
    </cfRule>
  </conditionalFormatting>
  <conditionalFormatting sqref="D6">
    <cfRule type="iconSet" priority="10">
      <iconSet iconSet="3Arrows">
        <cfvo type="percent" val="0"/>
        <cfvo type="percent" val="33"/>
        <cfvo type="percent" val="67"/>
      </iconSet>
    </cfRule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{3B3399AF-F237-4821-8F52-C72BDED2BB06}</x14:id>
        </ext>
      </extLst>
    </cfRule>
  </conditionalFormatting>
  <conditionalFormatting sqref="A7">
    <cfRule type="iconSet" priority="8">
      <iconSet iconSet="3Arrows">
        <cfvo type="percent" val="0"/>
        <cfvo type="percent" val="33"/>
        <cfvo type="percent" val="67"/>
      </iconSe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{FE39FEA6-4BFE-486F-96EE-96EB0D97DC69}</x14:id>
        </ext>
      </extLst>
    </cfRule>
  </conditionalFormatting>
  <conditionalFormatting sqref="B7">
    <cfRule type="iconSet" priority="6">
      <iconSet iconSet="3Arrows">
        <cfvo type="percent" val="0"/>
        <cfvo type="percent" val="33"/>
        <cfvo type="percent" val="67"/>
      </iconSe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{482AEA1F-B3A5-40B8-9536-A4807C81C74B}</x14:id>
        </ext>
      </extLst>
    </cfRule>
  </conditionalFormatting>
  <conditionalFormatting sqref="C7">
    <cfRule type="iconSet" priority="4">
      <iconSet iconSet="3Arrows">
        <cfvo type="percent" val="0"/>
        <cfvo type="percent" val="33"/>
        <cfvo type="percent" val="67"/>
      </iconSe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{52592930-CF16-4FB8-9B87-C68CA6E1EBF1}</x14:id>
        </ext>
      </extLst>
    </cfRule>
  </conditionalFormatting>
  <conditionalFormatting sqref="D7">
    <cfRule type="iconSet" priority="2">
      <iconSet iconSet="3Arrows">
        <cfvo type="percent" val="0"/>
        <cfvo type="percent" val="33"/>
        <cfvo type="percent" val="67"/>
      </iconSe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{2D726964-62EE-47F8-920C-76A13CAA5D49}</x14:id>
        </ext>
      </extLst>
    </cfRule>
  </conditionalFormatting>
  <conditionalFormatting sqref="A2:D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91B513-8842-4272-9483-00F3D23C79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A2:D5</xm:sqref>
        </x14:conditionalFormatting>
        <x14:conditionalFormatting xmlns:xm="http://schemas.microsoft.com/office/excel/2006/main">
          <x14:cfRule type="dataBar" id="{12052E02-1AF5-457D-A146-5B67D94878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A6</xm:sqref>
        </x14:conditionalFormatting>
        <x14:conditionalFormatting xmlns:xm="http://schemas.microsoft.com/office/excel/2006/main">
          <x14:cfRule type="dataBar" id="{DF04B2F5-3F40-4DDA-A57A-A37AF8082E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DAA842A6-5500-4913-829B-BF8603833E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3B3399AF-F237-4821-8F52-C72BDED2BB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</xm:sqref>
        </x14:conditionalFormatting>
        <x14:conditionalFormatting xmlns:xm="http://schemas.microsoft.com/office/excel/2006/main">
          <x14:cfRule type="dataBar" id="{FE39FEA6-4BFE-486F-96EE-96EB0D97DC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A7</xm:sqref>
        </x14:conditionalFormatting>
        <x14:conditionalFormatting xmlns:xm="http://schemas.microsoft.com/office/excel/2006/main">
          <x14:cfRule type="dataBar" id="{482AEA1F-B3A5-40B8-9536-A4807C81C7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</xm:sqref>
        </x14:conditionalFormatting>
        <x14:conditionalFormatting xmlns:xm="http://schemas.microsoft.com/office/excel/2006/main">
          <x14:cfRule type="dataBar" id="{52592930-CF16-4FB8-9B87-C68CA6E1E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2D726964-62EE-47F8-920C-76A13CAA5D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1"/>
  <sheetViews>
    <sheetView topLeftCell="A35" workbookViewId="0">
      <selection activeCell="D54" sqref="D54"/>
    </sheetView>
  </sheetViews>
  <sheetFormatPr defaultRowHeight="15" x14ac:dyDescent="0.25"/>
  <cols>
    <col min="1" max="1" width="24.5703125" bestFit="1" customWidth="1"/>
    <col min="2" max="2" width="10.7109375" customWidth="1"/>
    <col min="3" max="3" width="21.85546875" customWidth="1"/>
    <col min="4" max="4" width="6.5703125" customWidth="1"/>
    <col min="5" max="5" width="21.85546875" customWidth="1"/>
    <col min="6" max="6" width="5.5703125" customWidth="1"/>
    <col min="7" max="7" width="6.5703125" customWidth="1"/>
    <col min="8" max="8" width="15.7109375" customWidth="1"/>
    <col min="9" max="9" width="26.85546875" customWidth="1"/>
    <col min="10" max="10" width="15.7109375" bestFit="1" customWidth="1"/>
    <col min="11" max="11" width="26.85546875" bestFit="1" customWidth="1"/>
  </cols>
  <sheetData>
    <row r="3" spans="1:3" x14ac:dyDescent="0.25">
      <c r="A3" s="54" t="s">
        <v>29</v>
      </c>
      <c r="B3" t="s">
        <v>148</v>
      </c>
      <c r="C3" t="s">
        <v>149</v>
      </c>
    </row>
    <row r="4" spans="1:3" x14ac:dyDescent="0.25">
      <c r="A4" s="55" t="s">
        <v>128</v>
      </c>
      <c r="B4" s="53">
        <v>188</v>
      </c>
      <c r="C4" s="53">
        <v>49</v>
      </c>
    </row>
    <row r="5" spans="1:3" x14ac:dyDescent="0.25">
      <c r="A5" s="56" t="s">
        <v>129</v>
      </c>
      <c r="B5" s="53">
        <v>91</v>
      </c>
      <c r="C5" s="53">
        <v>14</v>
      </c>
    </row>
    <row r="6" spans="1:3" x14ac:dyDescent="0.25">
      <c r="A6" s="57" t="s">
        <v>131</v>
      </c>
      <c r="B6" s="53">
        <v>53</v>
      </c>
      <c r="C6" s="53">
        <v>7</v>
      </c>
    </row>
    <row r="7" spans="1:3" x14ac:dyDescent="0.25">
      <c r="A7" s="58" t="s">
        <v>125</v>
      </c>
      <c r="B7" s="53">
        <v>53</v>
      </c>
      <c r="C7" s="53">
        <v>7</v>
      </c>
    </row>
    <row r="8" spans="1:3" x14ac:dyDescent="0.25">
      <c r="A8" s="59" t="s">
        <v>127</v>
      </c>
      <c r="B8" s="53">
        <v>53</v>
      </c>
      <c r="C8" s="53">
        <v>7</v>
      </c>
    </row>
    <row r="9" spans="1:3" x14ac:dyDescent="0.25">
      <c r="A9" s="60" t="s">
        <v>126</v>
      </c>
      <c r="B9" s="53">
        <v>53</v>
      </c>
      <c r="C9" s="53">
        <v>7</v>
      </c>
    </row>
    <row r="10" spans="1:3" x14ac:dyDescent="0.25">
      <c r="A10" s="57" t="s">
        <v>124</v>
      </c>
      <c r="B10" s="53">
        <v>38</v>
      </c>
      <c r="C10" s="53">
        <v>7</v>
      </c>
    </row>
    <row r="11" spans="1:3" x14ac:dyDescent="0.25">
      <c r="A11" s="58" t="s">
        <v>125</v>
      </c>
      <c r="B11" s="53">
        <v>38</v>
      </c>
      <c r="C11" s="53">
        <v>7</v>
      </c>
    </row>
    <row r="12" spans="1:3" x14ac:dyDescent="0.25">
      <c r="A12" s="59" t="s">
        <v>127</v>
      </c>
      <c r="B12" s="53">
        <v>38</v>
      </c>
      <c r="C12" s="53">
        <v>7</v>
      </c>
    </row>
    <row r="13" spans="1:3" x14ac:dyDescent="0.25">
      <c r="A13" s="60" t="s">
        <v>126</v>
      </c>
      <c r="B13" s="53">
        <v>38</v>
      </c>
      <c r="C13" s="53">
        <v>7</v>
      </c>
    </row>
    <row r="14" spans="1:3" x14ac:dyDescent="0.25">
      <c r="A14" s="56" t="s">
        <v>120</v>
      </c>
      <c r="B14" s="53">
        <v>65</v>
      </c>
      <c r="C14" s="53">
        <v>26</v>
      </c>
    </row>
    <row r="15" spans="1:3" x14ac:dyDescent="0.25">
      <c r="A15" s="57" t="s">
        <v>124</v>
      </c>
      <c r="B15" s="53">
        <v>65</v>
      </c>
      <c r="C15" s="53">
        <v>26</v>
      </c>
    </row>
    <row r="16" spans="1:3" x14ac:dyDescent="0.25">
      <c r="A16" s="58" t="s">
        <v>141</v>
      </c>
      <c r="B16" s="53">
        <v>23</v>
      </c>
      <c r="C16" s="53">
        <v>13</v>
      </c>
    </row>
    <row r="17" spans="1:3" x14ac:dyDescent="0.25">
      <c r="A17" s="59" t="s">
        <v>127</v>
      </c>
      <c r="B17" s="53">
        <v>23</v>
      </c>
      <c r="C17" s="53">
        <v>13</v>
      </c>
    </row>
    <row r="18" spans="1:3" x14ac:dyDescent="0.25">
      <c r="A18" s="60" t="s">
        <v>126</v>
      </c>
      <c r="B18" s="53">
        <v>23</v>
      </c>
      <c r="C18" s="53">
        <v>13</v>
      </c>
    </row>
    <row r="19" spans="1:3" x14ac:dyDescent="0.25">
      <c r="A19" s="58" t="s">
        <v>125</v>
      </c>
      <c r="B19" s="53">
        <v>42</v>
      </c>
      <c r="C19" s="53">
        <v>13</v>
      </c>
    </row>
    <row r="20" spans="1:3" x14ac:dyDescent="0.25">
      <c r="A20" s="59" t="s">
        <v>133</v>
      </c>
      <c r="B20" s="53">
        <v>42</v>
      </c>
      <c r="C20" s="53">
        <v>13</v>
      </c>
    </row>
    <row r="21" spans="1:3" x14ac:dyDescent="0.25">
      <c r="A21" s="60" t="s">
        <v>126</v>
      </c>
      <c r="B21" s="53">
        <v>42</v>
      </c>
      <c r="C21" s="53">
        <v>13</v>
      </c>
    </row>
    <row r="22" spans="1:3" x14ac:dyDescent="0.25">
      <c r="A22" s="56" t="s">
        <v>132</v>
      </c>
      <c r="B22" s="53">
        <v>32</v>
      </c>
      <c r="C22" s="53">
        <v>9</v>
      </c>
    </row>
    <row r="23" spans="1:3" x14ac:dyDescent="0.25">
      <c r="A23" s="57" t="s">
        <v>124</v>
      </c>
      <c r="B23" s="53">
        <v>32</v>
      </c>
      <c r="C23" s="53">
        <v>9</v>
      </c>
    </row>
    <row r="24" spans="1:3" x14ac:dyDescent="0.25">
      <c r="A24" s="58" t="s">
        <v>125</v>
      </c>
      <c r="B24" s="53">
        <v>32</v>
      </c>
      <c r="C24" s="53">
        <v>9</v>
      </c>
    </row>
    <row r="25" spans="1:3" x14ac:dyDescent="0.25">
      <c r="A25" s="59" t="s">
        <v>127</v>
      </c>
      <c r="B25" s="53">
        <v>32</v>
      </c>
      <c r="C25" s="53">
        <v>9</v>
      </c>
    </row>
    <row r="26" spans="1:3" x14ac:dyDescent="0.25">
      <c r="A26" s="60" t="s">
        <v>126</v>
      </c>
      <c r="B26" s="53">
        <v>32</v>
      </c>
      <c r="C26" s="53">
        <v>9</v>
      </c>
    </row>
    <row r="27" spans="1:3" x14ac:dyDescent="0.25">
      <c r="A27" s="55" t="s">
        <v>119</v>
      </c>
      <c r="B27" s="53">
        <v>170</v>
      </c>
      <c r="C27" s="53">
        <v>45</v>
      </c>
    </row>
    <row r="28" spans="1:3" x14ac:dyDescent="0.25">
      <c r="A28" s="56" t="s">
        <v>120</v>
      </c>
      <c r="B28" s="53">
        <v>50</v>
      </c>
      <c r="C28" s="53">
        <v>13</v>
      </c>
    </row>
    <row r="29" spans="1:3" x14ac:dyDescent="0.25">
      <c r="A29" s="57" t="s">
        <v>124</v>
      </c>
      <c r="B29" s="53">
        <v>50</v>
      </c>
      <c r="C29" s="53">
        <v>13</v>
      </c>
    </row>
    <row r="30" spans="1:3" x14ac:dyDescent="0.25">
      <c r="A30" s="58" t="s">
        <v>125</v>
      </c>
      <c r="B30" s="53">
        <v>50</v>
      </c>
      <c r="C30" s="53">
        <v>13</v>
      </c>
    </row>
    <row r="31" spans="1:3" x14ac:dyDescent="0.25">
      <c r="A31" s="59" t="s">
        <v>127</v>
      </c>
      <c r="B31" s="53">
        <v>50</v>
      </c>
      <c r="C31" s="53">
        <v>13</v>
      </c>
    </row>
    <row r="32" spans="1:3" x14ac:dyDescent="0.25">
      <c r="A32" s="60" t="s">
        <v>126</v>
      </c>
      <c r="B32" s="53">
        <v>50</v>
      </c>
      <c r="C32" s="53">
        <v>13</v>
      </c>
    </row>
    <row r="33" spans="1:3" x14ac:dyDescent="0.25">
      <c r="A33" s="56" t="s">
        <v>132</v>
      </c>
      <c r="B33" s="53">
        <v>77</v>
      </c>
      <c r="C33" s="53">
        <v>18</v>
      </c>
    </row>
    <row r="34" spans="1:3" x14ac:dyDescent="0.25">
      <c r="A34" s="57" t="s">
        <v>124</v>
      </c>
      <c r="B34" s="53">
        <v>77</v>
      </c>
      <c r="C34" s="53">
        <v>18</v>
      </c>
    </row>
    <row r="35" spans="1:3" x14ac:dyDescent="0.25">
      <c r="A35" s="58" t="s">
        <v>125</v>
      </c>
      <c r="B35" s="53">
        <v>77</v>
      </c>
      <c r="C35" s="53">
        <v>18</v>
      </c>
    </row>
    <row r="36" spans="1:3" x14ac:dyDescent="0.25">
      <c r="A36" s="59" t="s">
        <v>127</v>
      </c>
      <c r="B36" s="53">
        <v>25</v>
      </c>
      <c r="C36" s="53">
        <v>9</v>
      </c>
    </row>
    <row r="37" spans="1:3" x14ac:dyDescent="0.25">
      <c r="A37" s="60" t="s">
        <v>126</v>
      </c>
      <c r="B37" s="53">
        <v>25</v>
      </c>
      <c r="C37" s="53">
        <v>9</v>
      </c>
    </row>
    <row r="38" spans="1:3" x14ac:dyDescent="0.25">
      <c r="A38" s="59" t="s">
        <v>133</v>
      </c>
      <c r="B38" s="53">
        <v>52</v>
      </c>
      <c r="C38" s="53">
        <v>9</v>
      </c>
    </row>
    <row r="39" spans="1:3" x14ac:dyDescent="0.25">
      <c r="A39" s="60" t="s">
        <v>126</v>
      </c>
      <c r="B39" s="53">
        <v>52</v>
      </c>
      <c r="C39" s="53">
        <v>9</v>
      </c>
    </row>
    <row r="40" spans="1:3" x14ac:dyDescent="0.25">
      <c r="A40" s="56" t="s">
        <v>146</v>
      </c>
      <c r="B40" s="53">
        <v>43</v>
      </c>
      <c r="C40" s="53">
        <v>14</v>
      </c>
    </row>
    <row r="41" spans="1:3" x14ac:dyDescent="0.25">
      <c r="A41" s="57" t="s">
        <v>124</v>
      </c>
      <c r="B41" s="53">
        <v>43</v>
      </c>
      <c r="C41" s="53">
        <v>14</v>
      </c>
    </row>
    <row r="42" spans="1:3" x14ac:dyDescent="0.25">
      <c r="A42" s="58" t="s">
        <v>141</v>
      </c>
      <c r="B42" s="53">
        <v>43</v>
      </c>
      <c r="C42" s="53">
        <v>14</v>
      </c>
    </row>
    <row r="43" spans="1:3" x14ac:dyDescent="0.25">
      <c r="A43" s="59" t="s">
        <v>133</v>
      </c>
      <c r="B43" s="53">
        <v>43</v>
      </c>
      <c r="C43" s="53">
        <v>14</v>
      </c>
    </row>
    <row r="44" spans="1:3" x14ac:dyDescent="0.25">
      <c r="A44" s="60" t="s">
        <v>126</v>
      </c>
      <c r="B44" s="53">
        <v>43</v>
      </c>
      <c r="C44" s="53">
        <v>14</v>
      </c>
    </row>
    <row r="45" spans="1:3" x14ac:dyDescent="0.25">
      <c r="A45" s="55" t="s">
        <v>134</v>
      </c>
      <c r="B45" s="53">
        <v>30</v>
      </c>
      <c r="C45" s="53">
        <v>13</v>
      </c>
    </row>
    <row r="46" spans="1:3" x14ac:dyDescent="0.25">
      <c r="A46" s="56" t="s">
        <v>120</v>
      </c>
      <c r="B46" s="53">
        <v>30</v>
      </c>
      <c r="C46" s="53">
        <v>13</v>
      </c>
    </row>
    <row r="47" spans="1:3" x14ac:dyDescent="0.25">
      <c r="A47" s="57" t="s">
        <v>136</v>
      </c>
      <c r="B47" s="53">
        <v>30</v>
      </c>
      <c r="C47" s="53">
        <v>13</v>
      </c>
    </row>
    <row r="48" spans="1:3" x14ac:dyDescent="0.25">
      <c r="A48" s="58" t="s">
        <v>125</v>
      </c>
      <c r="B48" s="53">
        <v>30</v>
      </c>
      <c r="C48" s="53">
        <v>13</v>
      </c>
    </row>
    <row r="49" spans="1:3" x14ac:dyDescent="0.25">
      <c r="A49" s="59" t="s">
        <v>133</v>
      </c>
      <c r="B49" s="53">
        <v>30</v>
      </c>
      <c r="C49" s="53">
        <v>13</v>
      </c>
    </row>
    <row r="50" spans="1:3" x14ac:dyDescent="0.25">
      <c r="A50" s="60" t="s">
        <v>137</v>
      </c>
      <c r="B50" s="53">
        <v>30</v>
      </c>
      <c r="C50" s="53">
        <v>13</v>
      </c>
    </row>
    <row r="51" spans="1:3" x14ac:dyDescent="0.25">
      <c r="A51" s="55" t="s">
        <v>30</v>
      </c>
      <c r="B51" s="53">
        <v>388</v>
      </c>
      <c r="C51" s="53">
        <v>107</v>
      </c>
    </row>
  </sheetData>
  <sheetProtection algorithmName="SHA-512" hashValue="FCSWw42z15n9VYKNKK/iZz3Z3StGdRDdw1nmU9TAmYvhlgvSUggDO0DgJdtP+3y9z6hBxKFgnzEBdPjYSh3IjQ==" saltValue="LMvmKh2Gcmoo6DB5QLzQ6A==" spinCount="100000" sheet="1" objects="1" scenarios="1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N16" sqref="N16"/>
    </sheetView>
  </sheetViews>
  <sheetFormatPr defaultRowHeight="15" x14ac:dyDescent="0.25"/>
  <cols>
    <col min="2" max="2" width="11.7109375" customWidth="1"/>
    <col min="4" max="4" width="12" customWidth="1"/>
    <col min="5" max="5" width="17" customWidth="1"/>
    <col min="6" max="6" width="15.42578125" customWidth="1"/>
    <col min="7" max="7" width="12.85546875" customWidth="1"/>
    <col min="8" max="8" width="13.85546875" customWidth="1"/>
    <col min="10" max="10" width="9.42578125" customWidth="1"/>
    <col min="11" max="11" width="13.140625" customWidth="1"/>
    <col min="12" max="12" width="12.7109375" customWidth="1"/>
    <col min="13" max="13" width="16.42578125" customWidth="1"/>
    <col min="14" max="14" width="15.7109375" customWidth="1"/>
    <col min="15" max="15" width="9.7109375" customWidth="1"/>
  </cols>
  <sheetData>
    <row r="1" spans="1:15" x14ac:dyDescent="0.25">
      <c r="A1" s="65" t="s">
        <v>0</v>
      </c>
      <c r="B1" s="66" t="s">
        <v>106</v>
      </c>
      <c r="C1" s="66" t="s">
        <v>107</v>
      </c>
      <c r="D1" s="66" t="s">
        <v>108</v>
      </c>
      <c r="E1" s="66" t="s">
        <v>109</v>
      </c>
      <c r="F1" s="66" t="s">
        <v>110</v>
      </c>
      <c r="G1" s="66" t="s">
        <v>111</v>
      </c>
      <c r="H1" s="66" t="s">
        <v>112</v>
      </c>
      <c r="I1" s="66" t="s">
        <v>113</v>
      </c>
      <c r="J1" s="66" t="s">
        <v>1</v>
      </c>
      <c r="K1" s="66" t="s">
        <v>114</v>
      </c>
      <c r="L1" s="66" t="s">
        <v>115</v>
      </c>
      <c r="M1" s="66" t="s">
        <v>116</v>
      </c>
      <c r="N1" s="66" t="s">
        <v>117</v>
      </c>
      <c r="O1" s="67" t="s">
        <v>118</v>
      </c>
    </row>
    <row r="2" spans="1:15" x14ac:dyDescent="0.25">
      <c r="A2" s="61">
        <v>50</v>
      </c>
      <c r="B2" s="2" t="s">
        <v>119</v>
      </c>
      <c r="C2" s="2">
        <v>83311</v>
      </c>
      <c r="D2" s="2" t="s">
        <v>120</v>
      </c>
      <c r="E2" s="2">
        <v>13</v>
      </c>
      <c r="F2" s="2" t="s">
        <v>121</v>
      </c>
      <c r="G2" s="2" t="s">
        <v>122</v>
      </c>
      <c r="H2" s="2" t="s">
        <v>123</v>
      </c>
      <c r="I2" s="2" t="s">
        <v>124</v>
      </c>
      <c r="J2" s="2" t="s">
        <v>125</v>
      </c>
      <c r="K2" s="2">
        <v>0</v>
      </c>
      <c r="L2" s="2">
        <v>0</v>
      </c>
      <c r="M2" s="2">
        <v>13</v>
      </c>
      <c r="N2" s="2" t="s">
        <v>126</v>
      </c>
      <c r="O2" s="63" t="s">
        <v>127</v>
      </c>
    </row>
    <row r="3" spans="1:15" x14ac:dyDescent="0.25">
      <c r="A3" s="62">
        <v>53</v>
      </c>
      <c r="B3" s="3" t="s">
        <v>128</v>
      </c>
      <c r="C3" s="3">
        <v>234721</v>
      </c>
      <c r="D3" s="3" t="s">
        <v>129</v>
      </c>
      <c r="E3" s="3">
        <v>7</v>
      </c>
      <c r="F3" s="3" t="s">
        <v>121</v>
      </c>
      <c r="G3" s="3" t="s">
        <v>130</v>
      </c>
      <c r="H3" s="3" t="s">
        <v>123</v>
      </c>
      <c r="I3" s="3" t="s">
        <v>131</v>
      </c>
      <c r="J3" s="3" t="s">
        <v>125</v>
      </c>
      <c r="K3" s="3">
        <v>0</v>
      </c>
      <c r="L3" s="3">
        <v>0</v>
      </c>
      <c r="M3" s="3">
        <v>40</v>
      </c>
      <c r="N3" s="3" t="s">
        <v>126</v>
      </c>
      <c r="O3" s="64" t="s">
        <v>127</v>
      </c>
    </row>
    <row r="4" spans="1:15" x14ac:dyDescent="0.25">
      <c r="A4" s="61">
        <v>52</v>
      </c>
      <c r="B4" s="2" t="s">
        <v>119</v>
      </c>
      <c r="C4" s="2">
        <v>209642</v>
      </c>
      <c r="D4" s="2" t="s">
        <v>132</v>
      </c>
      <c r="E4" s="2">
        <v>9</v>
      </c>
      <c r="F4" s="2" t="s">
        <v>121</v>
      </c>
      <c r="G4" s="2" t="s">
        <v>122</v>
      </c>
      <c r="H4" s="2" t="s">
        <v>123</v>
      </c>
      <c r="I4" s="2" t="s">
        <v>124</v>
      </c>
      <c r="J4" s="2" t="s">
        <v>125</v>
      </c>
      <c r="K4" s="2">
        <v>0</v>
      </c>
      <c r="L4" s="2">
        <v>0</v>
      </c>
      <c r="M4" s="2">
        <v>45</v>
      </c>
      <c r="N4" s="2" t="s">
        <v>126</v>
      </c>
      <c r="O4" s="63" t="s">
        <v>133</v>
      </c>
    </row>
    <row r="5" spans="1:15" x14ac:dyDescent="0.25">
      <c r="A5" s="62">
        <v>42</v>
      </c>
      <c r="B5" s="3" t="s">
        <v>128</v>
      </c>
      <c r="C5" s="3">
        <v>159449</v>
      </c>
      <c r="D5" s="3" t="s">
        <v>120</v>
      </c>
      <c r="E5" s="3">
        <v>13</v>
      </c>
      <c r="F5" s="3" t="s">
        <v>121</v>
      </c>
      <c r="G5" s="3" t="s">
        <v>122</v>
      </c>
      <c r="H5" s="3" t="s">
        <v>123</v>
      </c>
      <c r="I5" s="3" t="s">
        <v>124</v>
      </c>
      <c r="J5" s="3" t="s">
        <v>125</v>
      </c>
      <c r="K5" s="3">
        <v>5178</v>
      </c>
      <c r="L5" s="3">
        <v>0</v>
      </c>
      <c r="M5" s="3">
        <v>40</v>
      </c>
      <c r="N5" s="3" t="s">
        <v>126</v>
      </c>
      <c r="O5" s="64" t="s">
        <v>133</v>
      </c>
    </row>
    <row r="6" spans="1:15" x14ac:dyDescent="0.25">
      <c r="A6" s="61">
        <v>30</v>
      </c>
      <c r="B6" s="2" t="s">
        <v>134</v>
      </c>
      <c r="C6" s="2">
        <v>141297</v>
      </c>
      <c r="D6" s="2" t="s">
        <v>120</v>
      </c>
      <c r="E6" s="2">
        <v>13</v>
      </c>
      <c r="F6" s="2" t="s">
        <v>121</v>
      </c>
      <c r="G6" s="2" t="s">
        <v>135</v>
      </c>
      <c r="H6" s="2" t="s">
        <v>123</v>
      </c>
      <c r="I6" s="2" t="s">
        <v>136</v>
      </c>
      <c r="J6" s="2" t="s">
        <v>125</v>
      </c>
      <c r="K6" s="2">
        <v>0</v>
      </c>
      <c r="L6" s="2">
        <v>0</v>
      </c>
      <c r="M6" s="2">
        <v>40</v>
      </c>
      <c r="N6" s="2" t="s">
        <v>137</v>
      </c>
      <c r="O6" s="63" t="s">
        <v>133</v>
      </c>
    </row>
    <row r="7" spans="1:15" x14ac:dyDescent="0.25">
      <c r="A7" s="62">
        <v>23</v>
      </c>
      <c r="B7" s="3" t="s">
        <v>128</v>
      </c>
      <c r="C7" s="3">
        <v>122272</v>
      </c>
      <c r="D7" s="3" t="s">
        <v>120</v>
      </c>
      <c r="E7" s="3">
        <v>13</v>
      </c>
      <c r="F7" s="3" t="s">
        <v>138</v>
      </c>
      <c r="G7" s="3" t="s">
        <v>139</v>
      </c>
      <c r="H7" s="3" t="s">
        <v>140</v>
      </c>
      <c r="I7" s="3" t="s">
        <v>124</v>
      </c>
      <c r="J7" s="3" t="s">
        <v>141</v>
      </c>
      <c r="K7" s="3">
        <v>0</v>
      </c>
      <c r="L7" s="3">
        <v>0</v>
      </c>
      <c r="M7" s="3">
        <v>30</v>
      </c>
      <c r="N7" s="3" t="s">
        <v>126</v>
      </c>
      <c r="O7" s="64" t="s">
        <v>127</v>
      </c>
    </row>
    <row r="8" spans="1:15" x14ac:dyDescent="0.25">
      <c r="A8" s="61">
        <v>25</v>
      </c>
      <c r="B8" s="2" t="s">
        <v>119</v>
      </c>
      <c r="C8" s="2">
        <v>176756</v>
      </c>
      <c r="D8" s="2" t="s">
        <v>132</v>
      </c>
      <c r="E8" s="2">
        <v>9</v>
      </c>
      <c r="F8" s="2" t="s">
        <v>138</v>
      </c>
      <c r="G8" s="2" t="s">
        <v>142</v>
      </c>
      <c r="H8" s="2" t="s">
        <v>140</v>
      </c>
      <c r="I8" s="2" t="s">
        <v>124</v>
      </c>
      <c r="J8" s="2" t="s">
        <v>125</v>
      </c>
      <c r="K8" s="2">
        <v>0</v>
      </c>
      <c r="L8" s="2">
        <v>0</v>
      </c>
      <c r="M8" s="2">
        <v>35</v>
      </c>
      <c r="N8" s="2" t="s">
        <v>126</v>
      </c>
      <c r="O8" s="63" t="s">
        <v>127</v>
      </c>
    </row>
    <row r="9" spans="1:15" x14ac:dyDescent="0.25">
      <c r="A9" s="62">
        <v>32</v>
      </c>
      <c r="B9" s="3" t="s">
        <v>128</v>
      </c>
      <c r="C9" s="3">
        <v>186824</v>
      </c>
      <c r="D9" s="3" t="s">
        <v>132</v>
      </c>
      <c r="E9" s="3">
        <v>9</v>
      </c>
      <c r="F9" s="3" t="s">
        <v>138</v>
      </c>
      <c r="G9" s="3" t="s">
        <v>143</v>
      </c>
      <c r="H9" s="3" t="s">
        <v>144</v>
      </c>
      <c r="I9" s="3" t="s">
        <v>124</v>
      </c>
      <c r="J9" s="3" t="s">
        <v>125</v>
      </c>
      <c r="K9" s="3">
        <v>0</v>
      </c>
      <c r="L9" s="3">
        <v>0</v>
      </c>
      <c r="M9" s="3">
        <v>40</v>
      </c>
      <c r="N9" s="3" t="s">
        <v>126</v>
      </c>
      <c r="O9" s="64" t="s">
        <v>127</v>
      </c>
    </row>
    <row r="10" spans="1:15" x14ac:dyDescent="0.25">
      <c r="A10" s="61">
        <v>38</v>
      </c>
      <c r="B10" s="2" t="s">
        <v>128</v>
      </c>
      <c r="C10" s="2">
        <v>28887</v>
      </c>
      <c r="D10" s="2" t="s">
        <v>129</v>
      </c>
      <c r="E10" s="2">
        <v>7</v>
      </c>
      <c r="F10" s="2" t="s">
        <v>121</v>
      </c>
      <c r="G10" s="2" t="s">
        <v>145</v>
      </c>
      <c r="H10" s="2" t="s">
        <v>123</v>
      </c>
      <c r="I10" s="2" t="s">
        <v>124</v>
      </c>
      <c r="J10" s="2" t="s">
        <v>125</v>
      </c>
      <c r="K10" s="2">
        <v>0</v>
      </c>
      <c r="L10" s="2">
        <v>0</v>
      </c>
      <c r="M10" s="2">
        <v>50</v>
      </c>
      <c r="N10" s="2" t="s">
        <v>126</v>
      </c>
      <c r="O10" s="63" t="s">
        <v>127</v>
      </c>
    </row>
    <row r="11" spans="1:15" x14ac:dyDescent="0.25">
      <c r="A11" s="68">
        <v>43</v>
      </c>
      <c r="B11" s="69" t="s">
        <v>119</v>
      </c>
      <c r="C11" s="69">
        <v>292175</v>
      </c>
      <c r="D11" s="69" t="s">
        <v>146</v>
      </c>
      <c r="E11" s="69">
        <v>14</v>
      </c>
      <c r="F11" s="69" t="s">
        <v>147</v>
      </c>
      <c r="G11" s="69" t="s">
        <v>122</v>
      </c>
      <c r="H11" s="69" t="s">
        <v>144</v>
      </c>
      <c r="I11" s="69" t="s">
        <v>124</v>
      </c>
      <c r="J11" s="69" t="s">
        <v>141</v>
      </c>
      <c r="K11" s="69">
        <v>0</v>
      </c>
      <c r="L11" s="69">
        <v>0</v>
      </c>
      <c r="M11" s="69">
        <v>45</v>
      </c>
      <c r="N11" s="69" t="s">
        <v>126</v>
      </c>
      <c r="O11" s="70" t="s">
        <v>133</v>
      </c>
    </row>
  </sheetData>
  <conditionalFormatting sqref="A2:O1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Sheet3</vt:lpstr>
      <vt:lpstr>Sheet4</vt:lpstr>
      <vt:lpstr>Sheet7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2025-10-25T09:04:33Z</dcterms:created>
  <dcterms:modified xsi:type="dcterms:W3CDTF">2025-10-28T11:53:15Z</dcterms:modified>
</cp:coreProperties>
</file>